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Monthly cost" sheetId="2" state="visible" r:id="rId4"/>
    <sheet name="Value" sheetId="3" state="visible" r:id="rId5"/>
    <sheet name="Sensitivity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Header values (row 4) are editable scenarios.</t>
        </r>
      </text>
    </comment>
  </commentList>
</comments>
</file>

<file path=xl/sharedStrings.xml><?xml version="1.0" encoding="utf-8"?>
<sst xmlns="http://schemas.openxmlformats.org/spreadsheetml/2006/main" count="140" uniqueCount="112">
  <si>
    <t xml:space="preserve">EduNXT agent: cost model inputs</t>
  </si>
  <si>
    <t xml:space="preserve">Blue = editable input · Yellow = assumption to confirm or value still to fill · Black = formula. All money in USD.</t>
  </si>
  <si>
    <t xml:space="preserve">AI costs: NOT YET MEASURED. Run `python -m edunxt benchmark`, then `python scripts/build_cost_model.py` (or type the averages from out/benchmark/summary.md into B6:B8).</t>
  </si>
  <si>
    <t xml:space="preserve">AI cost per step (Claude API; measured by `python -m edunxt benchmark`)</t>
  </si>
  <si>
    <t xml:space="preserve">AI cost per client message analysed (Intake Agent, Haiku)</t>
  </si>
  <si>
    <t xml:space="preserve">USD</t>
  </si>
  <si>
    <t xml:space="preserve">Fill from out/benchmark/summary.md, 'Avg cost (USD)' column</t>
  </si>
  <si>
    <t xml:space="preserve">AI cost per draft (Research Agent, Opus + web search)</t>
  </si>
  <si>
    <t xml:space="preserve">AI cost per founder revision</t>
  </si>
  <si>
    <t xml:space="preserve">Workflow per enquiry</t>
  </si>
  <si>
    <t xml:space="preserve">Client messages analysed per enquiry</t>
  </si>
  <si>
    <t xml:space="preserve">messages</t>
  </si>
  <si>
    <t xml:space="preserve">Benchmark cases use 2 (first enquiry + profile). Every later client message is also analysed.</t>
  </si>
  <si>
    <t xml:space="preserve">Share of enquiries that reach a draft</t>
  </si>
  <si>
    <t xml:space="preserve">100% = conservative upper bound (every enquirer completes the profile).</t>
  </si>
  <si>
    <t xml:space="preserve">Founder revisions per draft</t>
  </si>
  <si>
    <t xml:space="preserve">revisions</t>
  </si>
  <si>
    <t xml:space="preserve">Benchmark measures 1 revision per case.</t>
  </si>
  <si>
    <t xml:space="preserve">Share of drafts sent while the founder's 24h window is closed</t>
  </si>
  <si>
    <t xml:space="preserve">Then the agent sends the `new_case_ready` utility template first.</t>
  </si>
  <si>
    <t xml:space="preserve">Templates per such draft</t>
  </si>
  <si>
    <t xml:space="preserve">templates</t>
  </si>
  <si>
    <t xml:space="preserve">edunxt/workflow.py `_hold`</t>
  </si>
  <si>
    <t xml:space="preserve">AI cost per client (derived)</t>
  </si>
  <si>
    <t xml:space="preserve">intake x messages + draft + revisions x revision</t>
  </si>
  <si>
    <t xml:space="preserve">WhatsApp messages the agent sends (counted from edunxt/workflow.py)</t>
  </si>
  <si>
    <t xml:space="preserve">Welcome + questionnaire to the client</t>
  </si>
  <si>
    <t xml:space="preserve">per enquiry</t>
  </si>
  <si>
    <t xml:space="preserve">The only message the agent ever sends a client. On Instagram it goes out over Instagram instead.</t>
  </si>
  <si>
    <t xml:space="preserve">Founder notification per client message</t>
  </si>
  <si>
    <t xml:space="preserve">per message</t>
  </si>
  <si>
    <t xml:space="preserve">New-enquiry / forwarded-message notes</t>
  </si>
  <si>
    <t xml:space="preserve">Founder messages per draft</t>
  </si>
  <si>
    <t xml:space="preserve">per draft</t>
  </si>
  <si>
    <t xml:space="preserve">Summary text + University options PDF + Scholarships PDF</t>
  </si>
  <si>
    <t xml:space="preserve">Founder messages per revision</t>
  </si>
  <si>
    <t xml:space="preserve">per revision</t>
  </si>
  <si>
    <t xml:space="preserve">Same three items, new version</t>
  </si>
  <si>
    <t xml:space="preserve">Other founder replies per drafted case</t>
  </si>
  <si>
    <t xml:space="preserve">e.g. the `approve` confirmation</t>
  </si>
  <si>
    <t xml:space="preserve">Meta pricing, Egypt (USD per delivered message)</t>
  </si>
  <si>
    <t xml:space="preserve">Service message (reply inside the 24h window)</t>
  </si>
  <si>
    <t xml:space="preserve">Meta WhatsApp Business Platform rate card, Egypt, USD, per delivered message (marketing $0.0644 from 1 Jan 2026; utility/authentication $0.0036, July 2026 card). From 1 Oct 2026 service messages are billed at the utility rate after 1,000 free per business phone number per month, and utility templates inside the 24h window are billable. developers.facebook.com/docs/whatsapp/pricing. Checked 3 Oct 2026 via secondary sources; confirm in WhatsApp Manager.</t>
  </si>
  <si>
    <t xml:space="preserve">Utility template (founder `new_case_ready`)</t>
  </si>
  <si>
    <t xml:space="preserve">Volume tiers can lower this by up to 25%; ignored here.</t>
  </si>
  <si>
    <t xml:space="preserve">Free service messages per number per month</t>
  </si>
  <si>
    <t xml:space="preserve">From 1 Oct 2026; resets monthly, no rollover.</t>
  </si>
  <si>
    <t xml:space="preserve">VAT added to Meta's invoice</t>
  </si>
  <si>
    <t xml:space="preserve">Egyptian VAT 14%. Set 0% if it doesn't apply to your billing entity.</t>
  </si>
  <si>
    <t xml:space="preserve">Instagram message fee</t>
  </si>
  <si>
    <t xml:space="preserve">Instagram Messaging API (Graph API): no per-message fee. Replies only within 24h of the user's last message; the HUMAN_AGENT tag (7 days) needs its own App Review and may not be used for automated messages.</t>
  </si>
  <si>
    <t xml:space="preserve">Marketing template (reference only; the agent sends none)</t>
  </si>
  <si>
    <t xml:space="preserve">Not used in the model.</t>
  </si>
  <si>
    <t xml:space="preserve">Fixed monthly costs</t>
  </si>
  <si>
    <t xml:space="preserve">Hosting</t>
  </si>
  <si>
    <t xml:space="preserve">USD / month</t>
  </si>
  <si>
    <t xml:space="preserve">PoC runs on a laptop ($0). A small cloud VM is roughly $5-20/month.</t>
  </si>
  <si>
    <t xml:space="preserve">WhatsApp Cloud API number / access</t>
  </si>
  <si>
    <t xml:space="preserve">No platform fee from Meta for Cloud API.</t>
  </si>
  <si>
    <t xml:space="preserve">EduNXT business figures</t>
  </si>
  <si>
    <t xml:space="preserve">Enquiry to enrolment rate</t>
  </si>
  <si>
    <t xml:space="preserve">From EduNXT</t>
  </si>
  <si>
    <t xml:space="preserve">Commission per student (share of annual university fees)</t>
  </si>
  <si>
    <t xml:space="preserve">Average annual university fees</t>
  </si>
  <si>
    <t xml:space="preserve">USD / year</t>
  </si>
  <si>
    <t xml:space="preserve">ASSUMPTION for illustration; replace with EduNXT's average.</t>
  </si>
  <si>
    <t xml:space="preserve">Founder time to build one list today</t>
  </si>
  <si>
    <t xml:space="preserve">hours</t>
  </si>
  <si>
    <t xml:space="preserve">From EduNXT: 1-2 hours (midpoint)</t>
  </si>
  <si>
    <t xml:space="preserve">Founder time to review an agent draft</t>
  </si>
  <si>
    <t xml:space="preserve">ASSUMPTION: 15 minutes to read, tweak and approve.</t>
  </si>
  <si>
    <t xml:space="preserve">Current enquiries per month</t>
  </si>
  <si>
    <t xml:space="preserve">enquiries</t>
  </si>
  <si>
    <t xml:space="preserve">From EduNXT (WhatsApp + Instagram)</t>
  </si>
  <si>
    <t xml:space="preserve">Monthly running cost by number of new enquiries</t>
  </si>
  <si>
    <t xml:space="preserve">WhatsApp: client enquires on WhatsApp; agent replies on WhatsApp; founders review on WhatsApp</t>
  </si>
  <si>
    <t xml:space="preserve">Enquiries / month</t>
  </si>
  <si>
    <t xml:space="preserve">Drafts</t>
  </si>
  <si>
    <t xml:space="preserve">Client msgs analysed</t>
  </si>
  <si>
    <t xml:space="preserve">WhatsApp service msgs</t>
  </si>
  <si>
    <t xml:space="preserve">Billable service msgs</t>
  </si>
  <si>
    <t xml:space="preserve">Utility templates</t>
  </si>
  <si>
    <t xml:space="preserve">Meta fees (USD)</t>
  </si>
  <si>
    <t xml:space="preserve">AI cost (USD)</t>
  </si>
  <si>
    <t xml:space="preserve">Fixed (USD)</t>
  </si>
  <si>
    <t xml:space="preserve">Total / month (USD)</t>
  </si>
  <si>
    <t xml:space="preserve">Per enquiry (USD)</t>
  </si>
  <si>
    <t xml:space="preserve">Per enrolled student (USD)</t>
  </si>
  <si>
    <t xml:space="preserve">Instagram: client enquires by Instagram DM; welcome sent over the Instagram Messaging API (free); founders still review on WhatsApp</t>
  </si>
  <si>
    <t xml:space="preserve">WhatsApp service messages = welcome (WhatsApp only) + one founder note per client message + founder messages per draft and revision.</t>
  </si>
  <si>
    <t xml:space="preserve">Only service messages above the free 1,000 per number per month are billed, so at today's volume Meta fees are close to $0.</t>
  </si>
  <si>
    <t xml:space="preserve">Instagram: the agent's single client message is inside Instagram's 24h window, so the window rule doesn't limit it. Integrating Instagram needs Meta App Review (instagram_business_manage_messages); until then founders start Instagram cases with `new ...` on WhatsApp.</t>
  </si>
  <si>
    <t xml:space="preserve">Volumes in column A are editable.</t>
  </si>
  <si>
    <t xml:space="preserve">What the cost buys: time saved and commission at stake (WhatsApp table)</t>
  </si>
  <si>
    <t xml:space="preserve">Commission uses the ASSUMED average annual fees on Inputs; replace it before quoting revenue.</t>
  </si>
  <si>
    <t xml:space="preserve">Enrolled students</t>
  </si>
  <si>
    <t xml:space="preserve">Commission / month (USD)</t>
  </si>
  <si>
    <t xml:space="preserve">Agent cost / month (USD)</t>
  </si>
  <si>
    <t xml:space="preserve">Agent cost as % of commission</t>
  </si>
  <si>
    <t xml:space="preserve">Founder hours on lists today</t>
  </si>
  <si>
    <t xml:space="preserve">Founder hours with agent</t>
  </si>
  <si>
    <t xml:space="preserve">Founder hours saved / month</t>
  </si>
  <si>
    <t xml:space="preserve">← EduNXT today</t>
  </si>
  <si>
    <t xml:space="preserve">Total monthly cost (WhatsApp) if the AI cost per client were...</t>
  </si>
  <si>
    <t xml:space="preserve">Use this before the benchmark has run, or to see how much the AI cost matters. Meta fees and fixed costs come from 'Monthly cost'.</t>
  </si>
  <si>
    <t xml:space="preserve">Sources and notes</t>
  </si>
  <si>
    <t xml:space="preserve">WhatsApp pricing (Egypt): Meta WhatsApp Business Platform rate card, Egypt, USD, per delivered message (marketing $0.0644 from 1 Jan 2026; utility/authentication $0.0036, July 2026 card). From 1 Oct 2026 service messages are billed at the utility rate after 1,000 free per business phone number per month, and utility templates inside the 24h window are billable. developers.facebook.com/docs/whatsapp/pricing. Checked 3 Oct 2026 via secondary sources; confirm in WhatsApp Manager.</t>
  </si>
  <si>
    <t xml:space="preserve">Instagram Messaging API: Instagram Messaging API (Graph API): no per-message fee. Replies only within 24h of the user's last message; the HUMAN_AGENT tag (7 days) needs its own App Review and may not be used for automated messages.</t>
  </si>
  <si>
    <t xml:space="preserve">Claude API prices used by the cost meter (edunxt/agents/llm.py): Opus 5.5 $4 / $20 per million input / output tokens; Haiku 4.5 $1 / $5; web search $10 per 1,000.</t>
  </si>
  <si>
    <t xml:space="preserve">Message counts per case: edunxt/workflow.py (_handle_client, _deliver, _hold).</t>
  </si>
  <si>
    <t xml:space="preserve">Business figures (15 enquiries/month, 30% enrolment, 10% commission, 1-2 h per list, 12-24 h reply time): EduNXT founders.</t>
  </si>
  <si>
    <t xml:space="preserve">Generated by scripts/build_cost_model.py. Re-run it after a benchmark to refresh the AI-cost inputs.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</si>
</sst>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00;&quot;($&quot;#,##0.0000\);\-"/>
    <numFmt numFmtId="166" formatCode="#,##0;\(#,##0\);\-"/>
    <numFmt numFmtId="167" formatCode="0.0%;\(0.0%\);\-"/>
    <numFmt numFmtId="168" formatCode="#,##0.0;\(#,##0.0\);\-"/>
    <numFmt numFmtId="169" formatCode="\$#,##0.00;&quot;($&quot;#,##0.00\);\-"/>
    <numFmt numFmtId="170" formatCode="\$#,##0;&quot;($&quot;#,##0\);\-"/>
    <numFmt numFmtId="171" formatCode="\$0.00&quot; / client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monthly cost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"WhatsApp"</c:f>
              <c:strCache>
                <c:ptCount val="1"/>
                <c:pt idx="0">
                  <c:v>WhatsApp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cost'!$A$6:$A$14</c:f>
              <c:strCache>
                <c:ptCount val="9"/>
                <c:pt idx="0">
                  <c:v>25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400</c:v>
                </c:pt>
                <c:pt idx="8">
                  <c:v>500</c:v>
                </c:pt>
              </c:strCache>
            </c:strRef>
          </c:cat>
          <c:val>
            <c:numRef>
              <c:f>'Monthly cost'!$J$6:$J$14</c:f>
              <c:numCache>
                <c:formatCode>\$#,##0.00;"($"#,##0.00\);\-</c:formatCode>
                <c:ptCount val="9"/>
                <c:pt idx="0">
                  <c:v>0.0513</c:v>
                </c:pt>
                <c:pt idx="1">
                  <c:v>0.1026</c:v>
                </c:pt>
                <c:pt idx="2">
                  <c:v>0.2052</c:v>
                </c:pt>
                <c:pt idx="3">
                  <c:v>2.3598</c:v>
                </c:pt>
                <c:pt idx="4">
                  <c:v>4.5144</c:v>
                </c:pt>
                <c:pt idx="5">
                  <c:v>6.669</c:v>
                </c:pt>
                <c:pt idx="6">
                  <c:v>8.8236</c:v>
                </c:pt>
                <c:pt idx="7">
                  <c:v>13.1328</c:v>
                </c:pt>
                <c:pt idx="8">
                  <c:v>17.442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"Instagram"</c:f>
              <c:strCache>
                <c:ptCount val="1"/>
                <c:pt idx="0">
                  <c:v>Instagram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cost'!$A$6:$A$14</c:f>
              <c:strCache>
                <c:ptCount val="9"/>
                <c:pt idx="0">
                  <c:v>25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400</c:v>
                </c:pt>
                <c:pt idx="8">
                  <c:v>500</c:v>
                </c:pt>
              </c:strCache>
            </c:strRef>
          </c:cat>
          <c:val>
            <c:numRef>
              <c:f>'Monthly cost'!$J$19:$J$27</c:f>
              <c:numCache>
                <c:formatCode>\$#,##0.00;"($"#,##0.00\);\-</c:formatCode>
                <c:ptCount val="9"/>
                <c:pt idx="0">
                  <c:v>0.0513</c:v>
                </c:pt>
                <c:pt idx="1">
                  <c:v>0.1026</c:v>
                </c:pt>
                <c:pt idx="2">
                  <c:v>0.2052</c:v>
                </c:pt>
                <c:pt idx="3">
                  <c:v>1.7442</c:v>
                </c:pt>
                <c:pt idx="4">
                  <c:v>3.6936</c:v>
                </c:pt>
                <c:pt idx="5">
                  <c:v>5.643</c:v>
                </c:pt>
                <c:pt idx="6">
                  <c:v>7.5924</c:v>
                </c:pt>
                <c:pt idx="7">
                  <c:v>11.4912</c:v>
                </c:pt>
                <c:pt idx="8">
                  <c:v>15.39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574042"/>
        <c:axId val="95654453"/>
      </c:lineChart>
      <c:catAx>
        <c:axId val="145740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New enquiries /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54453"/>
        <c:crosses val="autoZero"/>
        <c:auto val="1"/>
        <c:lblAlgn val="ctr"/>
        <c:lblOffset val="100"/>
        <c:noMultiLvlLbl val="0"/>
      </c:catAx>
      <c:valAx>
        <c:axId val="956544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 /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740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3</xdr:row>
      <xdr:rowOff>160920</xdr:rowOff>
    </xdr:from>
    <xdr:to>
      <xdr:col>21</xdr:col>
      <xdr:colOff>409320</xdr:colOff>
      <xdr:row>17</xdr:row>
      <xdr:rowOff>163800</xdr:rowOff>
    </xdr:to>
    <xdr:graphicFrame>
      <xdr:nvGraphicFramePr>
        <xdr:cNvPr id="0" name="Chart 1"/>
        <xdr:cNvGraphicFramePr/>
      </xdr:nvGraphicFramePr>
      <xdr:xfrm>
        <a:off x="1400508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4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5"/>
      <c r="C5" s="5"/>
      <c r="D5" s="5"/>
    </row>
    <row r="6" customFormat="false" ht="15" hidden="false" customHeight="false" outlineLevel="0" collapsed="false">
      <c r="A6" s="6" t="s">
        <v>4</v>
      </c>
      <c r="B6" s="7"/>
      <c r="C6" s="6" t="s">
        <v>5</v>
      </c>
      <c r="D6" s="8" t="s">
        <v>6</v>
      </c>
    </row>
    <row r="7" customFormat="false" ht="15" hidden="false" customHeight="false" outlineLevel="0" collapsed="false">
      <c r="A7" s="6" t="s">
        <v>7</v>
      </c>
      <c r="B7" s="7"/>
      <c r="C7" s="6" t="s">
        <v>5</v>
      </c>
      <c r="D7" s="8" t="s">
        <v>6</v>
      </c>
    </row>
    <row r="8" customFormat="false" ht="15" hidden="false" customHeight="false" outlineLevel="0" collapsed="false">
      <c r="A8" s="6" t="s">
        <v>8</v>
      </c>
      <c r="B8" s="7"/>
      <c r="C8" s="6" t="s">
        <v>5</v>
      </c>
      <c r="D8" s="8" t="s">
        <v>6</v>
      </c>
    </row>
    <row r="10" customFormat="false" ht="15" hidden="false" customHeight="false" outlineLevel="0" collapsed="false">
      <c r="A10" s="4" t="s">
        <v>9</v>
      </c>
      <c r="B10" s="5"/>
      <c r="C10" s="5"/>
      <c r="D10" s="5"/>
    </row>
    <row r="11" customFormat="false" ht="15" hidden="false" customHeight="false" outlineLevel="0" collapsed="false">
      <c r="A11" s="6" t="s">
        <v>10</v>
      </c>
      <c r="B11" s="9" t="n">
        <v>2</v>
      </c>
      <c r="C11" s="6" t="s">
        <v>11</v>
      </c>
      <c r="D11" s="8" t="s">
        <v>12</v>
      </c>
    </row>
    <row r="12" customFormat="false" ht="15" hidden="false" customHeight="false" outlineLevel="0" collapsed="false">
      <c r="A12" s="6" t="s">
        <v>13</v>
      </c>
      <c r="B12" s="10" t="n">
        <v>1</v>
      </c>
      <c r="C12" s="6"/>
      <c r="D12" s="8" t="s">
        <v>14</v>
      </c>
    </row>
    <row r="13" customFormat="false" ht="15" hidden="false" customHeight="false" outlineLevel="0" collapsed="false">
      <c r="A13" s="6" t="s">
        <v>15</v>
      </c>
      <c r="B13" s="11" t="n">
        <v>1</v>
      </c>
      <c r="C13" s="6" t="s">
        <v>16</v>
      </c>
      <c r="D13" s="8" t="s">
        <v>17</v>
      </c>
    </row>
    <row r="14" customFormat="false" ht="15" hidden="false" customHeight="false" outlineLevel="0" collapsed="false">
      <c r="A14" s="6" t="s">
        <v>18</v>
      </c>
      <c r="B14" s="10" t="n">
        <v>0.5</v>
      </c>
      <c r="C14" s="6"/>
      <c r="D14" s="8" t="s">
        <v>19</v>
      </c>
    </row>
    <row r="15" customFormat="false" ht="15" hidden="false" customHeight="false" outlineLevel="0" collapsed="false">
      <c r="A15" s="6" t="s">
        <v>20</v>
      </c>
      <c r="B15" s="9" t="n">
        <v>1</v>
      </c>
      <c r="C15" s="6" t="s">
        <v>21</v>
      </c>
      <c r="D15" s="8" t="s">
        <v>22</v>
      </c>
    </row>
    <row r="16" customFormat="false" ht="15" hidden="false" customHeight="false" outlineLevel="0" collapsed="false">
      <c r="A16" s="6" t="s">
        <v>23</v>
      </c>
      <c r="B16" s="12" t="str">
        <f aca="false">IF(COUNT(B6:B8)&lt;3,"not measured",$B$11*B6+B7+$B$13*B8)</f>
        <v>not measured</v>
      </c>
      <c r="C16" s="6" t="s">
        <v>5</v>
      </c>
      <c r="D16" s="8" t="s">
        <v>24</v>
      </c>
    </row>
    <row r="18" customFormat="false" ht="15" hidden="false" customHeight="false" outlineLevel="0" collapsed="false">
      <c r="A18" s="4" t="s">
        <v>25</v>
      </c>
      <c r="B18" s="5"/>
      <c r="C18" s="5"/>
      <c r="D18" s="5"/>
    </row>
    <row r="19" customFormat="false" ht="15" hidden="false" customHeight="false" outlineLevel="0" collapsed="false">
      <c r="A19" s="6" t="s">
        <v>26</v>
      </c>
      <c r="B19" s="9" t="n">
        <v>1</v>
      </c>
      <c r="C19" s="6" t="s">
        <v>27</v>
      </c>
      <c r="D19" s="8" t="s">
        <v>28</v>
      </c>
    </row>
    <row r="20" customFormat="false" ht="15" hidden="false" customHeight="false" outlineLevel="0" collapsed="false">
      <c r="A20" s="6" t="s">
        <v>29</v>
      </c>
      <c r="B20" s="9" t="n">
        <v>1</v>
      </c>
      <c r="C20" s="6" t="s">
        <v>30</v>
      </c>
      <c r="D20" s="8" t="s">
        <v>31</v>
      </c>
    </row>
    <row r="21" customFormat="false" ht="15" hidden="false" customHeight="false" outlineLevel="0" collapsed="false">
      <c r="A21" s="6" t="s">
        <v>32</v>
      </c>
      <c r="B21" s="9" t="n">
        <v>3</v>
      </c>
      <c r="C21" s="6" t="s">
        <v>33</v>
      </c>
      <c r="D21" s="8" t="s">
        <v>34</v>
      </c>
    </row>
    <row r="22" customFormat="false" ht="15" hidden="false" customHeight="false" outlineLevel="0" collapsed="false">
      <c r="A22" s="6" t="s">
        <v>35</v>
      </c>
      <c r="B22" s="9" t="n">
        <v>3</v>
      </c>
      <c r="C22" s="6" t="s">
        <v>36</v>
      </c>
      <c r="D22" s="8" t="s">
        <v>37</v>
      </c>
    </row>
    <row r="23" customFormat="false" ht="15" hidden="false" customHeight="false" outlineLevel="0" collapsed="false">
      <c r="A23" s="6" t="s">
        <v>38</v>
      </c>
      <c r="B23" s="9" t="n">
        <v>1</v>
      </c>
      <c r="C23" s="6" t="s">
        <v>33</v>
      </c>
      <c r="D23" s="8" t="s">
        <v>39</v>
      </c>
    </row>
    <row r="25" customFormat="false" ht="15" hidden="false" customHeight="false" outlineLevel="0" collapsed="false">
      <c r="A25" s="4" t="s">
        <v>40</v>
      </c>
      <c r="B25" s="5"/>
      <c r="C25" s="5"/>
      <c r="D25" s="5"/>
    </row>
    <row r="26" customFormat="false" ht="64.9" hidden="false" customHeight="false" outlineLevel="0" collapsed="false">
      <c r="A26" s="6" t="s">
        <v>41</v>
      </c>
      <c r="B26" s="13" t="n">
        <v>0.0036</v>
      </c>
      <c r="C26" s="6" t="s">
        <v>5</v>
      </c>
      <c r="D26" s="8" t="s">
        <v>42</v>
      </c>
    </row>
    <row r="27" customFormat="false" ht="15" hidden="false" customHeight="false" outlineLevel="0" collapsed="false">
      <c r="A27" s="6" t="s">
        <v>43</v>
      </c>
      <c r="B27" s="13" t="n">
        <v>0.0036</v>
      </c>
      <c r="C27" s="6" t="s">
        <v>5</v>
      </c>
      <c r="D27" s="8" t="s">
        <v>44</v>
      </c>
    </row>
    <row r="28" customFormat="false" ht="15" hidden="false" customHeight="false" outlineLevel="0" collapsed="false">
      <c r="A28" s="6" t="s">
        <v>45</v>
      </c>
      <c r="B28" s="9" t="n">
        <v>1000</v>
      </c>
      <c r="C28" s="6" t="s">
        <v>11</v>
      </c>
      <c r="D28" s="8" t="s">
        <v>46</v>
      </c>
    </row>
    <row r="29" customFormat="false" ht="15" hidden="false" customHeight="false" outlineLevel="0" collapsed="false">
      <c r="A29" s="6" t="s">
        <v>47</v>
      </c>
      <c r="B29" s="10" t="n">
        <v>0.14</v>
      </c>
      <c r="C29" s="6"/>
      <c r="D29" s="8" t="s">
        <v>48</v>
      </c>
    </row>
    <row r="30" customFormat="false" ht="26.85" hidden="false" customHeight="false" outlineLevel="0" collapsed="false">
      <c r="A30" s="6" t="s">
        <v>49</v>
      </c>
      <c r="B30" s="13" t="n">
        <v>0</v>
      </c>
      <c r="C30" s="6" t="s">
        <v>5</v>
      </c>
      <c r="D30" s="8" t="s">
        <v>50</v>
      </c>
    </row>
    <row r="31" customFormat="false" ht="15" hidden="false" customHeight="false" outlineLevel="0" collapsed="false">
      <c r="A31" s="6" t="s">
        <v>51</v>
      </c>
      <c r="B31" s="13" t="n">
        <v>0.0644</v>
      </c>
      <c r="C31" s="6" t="s">
        <v>5</v>
      </c>
      <c r="D31" s="8" t="s">
        <v>52</v>
      </c>
    </row>
    <row r="33" customFormat="false" ht="15" hidden="false" customHeight="false" outlineLevel="0" collapsed="false">
      <c r="A33" s="4" t="s">
        <v>53</v>
      </c>
      <c r="B33" s="5"/>
      <c r="C33" s="5"/>
      <c r="D33" s="5"/>
    </row>
    <row r="34" customFormat="false" ht="15" hidden="false" customHeight="false" outlineLevel="0" collapsed="false">
      <c r="A34" s="6" t="s">
        <v>54</v>
      </c>
      <c r="B34" s="14" t="n">
        <v>0</v>
      </c>
      <c r="C34" s="6" t="s">
        <v>55</v>
      </c>
      <c r="D34" s="8" t="s">
        <v>56</v>
      </c>
    </row>
    <row r="35" customFormat="false" ht="15" hidden="false" customHeight="false" outlineLevel="0" collapsed="false">
      <c r="A35" s="6" t="s">
        <v>57</v>
      </c>
      <c r="B35" s="15" t="n">
        <v>0</v>
      </c>
      <c r="C35" s="6" t="s">
        <v>55</v>
      </c>
      <c r="D35" s="8" t="s">
        <v>58</v>
      </c>
    </row>
    <row r="37" customFormat="false" ht="15" hidden="false" customHeight="false" outlineLevel="0" collapsed="false">
      <c r="A37" s="4" t="s">
        <v>59</v>
      </c>
      <c r="B37" s="5"/>
      <c r="C37" s="5"/>
      <c r="D37" s="5"/>
    </row>
    <row r="38" customFormat="false" ht="15" hidden="false" customHeight="false" outlineLevel="0" collapsed="false">
      <c r="A38" s="6" t="s">
        <v>60</v>
      </c>
      <c r="B38" s="16" t="n">
        <v>0.3</v>
      </c>
      <c r="C38" s="6"/>
      <c r="D38" s="8" t="s">
        <v>61</v>
      </c>
    </row>
    <row r="39" customFormat="false" ht="15" hidden="false" customHeight="false" outlineLevel="0" collapsed="false">
      <c r="A39" s="6" t="s">
        <v>62</v>
      </c>
      <c r="B39" s="16" t="n">
        <v>0.1</v>
      </c>
      <c r="C39" s="6"/>
      <c r="D39" s="8" t="s">
        <v>61</v>
      </c>
    </row>
    <row r="40" customFormat="false" ht="15" hidden="false" customHeight="false" outlineLevel="0" collapsed="false">
      <c r="A40" s="6" t="s">
        <v>63</v>
      </c>
      <c r="B40" s="14" t="n">
        <v>10000</v>
      </c>
      <c r="C40" s="6" t="s">
        <v>64</v>
      </c>
      <c r="D40" s="8" t="s">
        <v>65</v>
      </c>
    </row>
    <row r="41" customFormat="false" ht="15" hidden="false" customHeight="false" outlineLevel="0" collapsed="false">
      <c r="A41" s="6" t="s">
        <v>66</v>
      </c>
      <c r="B41" s="17" t="n">
        <v>1.5</v>
      </c>
      <c r="C41" s="6" t="s">
        <v>67</v>
      </c>
      <c r="D41" s="8" t="s">
        <v>68</v>
      </c>
    </row>
    <row r="42" customFormat="false" ht="15" hidden="false" customHeight="false" outlineLevel="0" collapsed="false">
      <c r="A42" s="6" t="s">
        <v>69</v>
      </c>
      <c r="B42" s="11" t="n">
        <v>0.25</v>
      </c>
      <c r="C42" s="6" t="s">
        <v>67</v>
      </c>
      <c r="D42" s="8" t="s">
        <v>70</v>
      </c>
    </row>
    <row r="43" customFormat="false" ht="15" hidden="false" customHeight="false" outlineLevel="0" collapsed="false">
      <c r="A43" s="6" t="s">
        <v>71</v>
      </c>
      <c r="B43" s="9" t="n">
        <v>15</v>
      </c>
      <c r="C43" s="6" t="s">
        <v>72</v>
      </c>
      <c r="D43" s="8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3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3" t="str">
        <f aca="false">IF(COUNT(Inputs!B6:B8)&lt;3,"AI cost not yet measured: AI columns show $0 until Inputs!B6:B8 are filled from the benchmark.","AI cost per client: "&amp;TEXT(Inputs!$B$16,"$0.00"))</f>
        <v>AI cost not yet measured: AI columns show $0 until Inputs!B6:B8 are filled from the benchmark.</v>
      </c>
    </row>
    <row r="4" customFormat="false" ht="15" hidden="false" customHeight="false" outlineLevel="0" collapsed="false">
      <c r="A4" s="18" t="s">
        <v>75</v>
      </c>
    </row>
    <row r="5" customFormat="false" ht="31.5" hidden="false" customHeight="true" outlineLevel="0" collapsed="false">
      <c r="A5" s="19" t="s">
        <v>76</v>
      </c>
      <c r="B5" s="19" t="s">
        <v>77</v>
      </c>
      <c r="C5" s="19" t="s">
        <v>78</v>
      </c>
      <c r="D5" s="19" t="s">
        <v>79</v>
      </c>
      <c r="E5" s="19" t="s">
        <v>80</v>
      </c>
      <c r="F5" s="19" t="s">
        <v>81</v>
      </c>
      <c r="G5" s="19" t="s">
        <v>82</v>
      </c>
      <c r="H5" s="19" t="s">
        <v>83</v>
      </c>
      <c r="I5" s="19" t="s">
        <v>84</v>
      </c>
      <c r="J5" s="19" t="s">
        <v>85</v>
      </c>
      <c r="K5" s="19" t="s">
        <v>86</v>
      </c>
      <c r="L5" s="19" t="s">
        <v>87</v>
      </c>
    </row>
    <row r="6" customFormat="false" ht="15" hidden="false" customHeight="false" outlineLevel="0" collapsed="false">
      <c r="A6" s="9" t="n">
        <v>25</v>
      </c>
      <c r="B6" s="20" t="n">
        <f aca="false">A6*Inputs!$B$12</f>
        <v>25</v>
      </c>
      <c r="C6" s="20" t="n">
        <f aca="false">A6*Inputs!$B$11</f>
        <v>50</v>
      </c>
      <c r="D6" s="20" t="n">
        <f aca="false">A6*Inputs!$B$19+C6*Inputs!$B$20+B6*(Inputs!$B$21+Inputs!$B$13*Inputs!$B$22+Inputs!$B$23)</f>
        <v>250</v>
      </c>
      <c r="E6" s="20" t="n">
        <f aca="false">MAX(0,D6-Inputs!$B$28)</f>
        <v>0</v>
      </c>
      <c r="F6" s="20" t="n">
        <f aca="false">B6*Inputs!$B$14*Inputs!$B$15</f>
        <v>12.5</v>
      </c>
      <c r="G6" s="12" t="n">
        <f aca="false">(E6*Inputs!$B$26+F6*Inputs!$B$27)*(1+Inputs!$B$29)+0</f>
        <v>0.0513</v>
      </c>
      <c r="H6" s="12" t="n">
        <f aca="false">C6*N(Inputs!$B$6)+B6*(N(Inputs!$B$7)+Inputs!$B$13*N(Inputs!$B$8))</f>
        <v>0</v>
      </c>
      <c r="I6" s="12" t="n">
        <f aca="false">Inputs!$B$34+Inputs!$B$35</f>
        <v>0</v>
      </c>
      <c r="J6" s="12" t="n">
        <f aca="false">G6+H6+I6</f>
        <v>0.0513</v>
      </c>
      <c r="K6" s="12" t="n">
        <f aca="false">IF(A6&gt;0,J6/A6,0)</f>
        <v>0.002052</v>
      </c>
      <c r="L6" s="12" t="n">
        <f aca="false">IF(A6*Inputs!$B$38&gt;0,J6/(A6*Inputs!$B$38),0)</f>
        <v>0.00684</v>
      </c>
    </row>
    <row r="7" customFormat="false" ht="15" hidden="false" customHeight="false" outlineLevel="0" collapsed="false">
      <c r="A7" s="9" t="n">
        <v>50</v>
      </c>
      <c r="B7" s="20" t="n">
        <f aca="false">A7*Inputs!$B$12</f>
        <v>50</v>
      </c>
      <c r="C7" s="20" t="n">
        <f aca="false">A7*Inputs!$B$11</f>
        <v>100</v>
      </c>
      <c r="D7" s="20" t="n">
        <f aca="false">A7*Inputs!$B$19+C7*Inputs!$B$20+B7*(Inputs!$B$21+Inputs!$B$13*Inputs!$B$22+Inputs!$B$23)</f>
        <v>500</v>
      </c>
      <c r="E7" s="20" t="n">
        <f aca="false">MAX(0,D7-Inputs!$B$28)</f>
        <v>0</v>
      </c>
      <c r="F7" s="20" t="n">
        <f aca="false">B7*Inputs!$B$14*Inputs!$B$15</f>
        <v>25</v>
      </c>
      <c r="G7" s="12" t="n">
        <f aca="false">(E7*Inputs!$B$26+F7*Inputs!$B$27)*(1+Inputs!$B$29)+0</f>
        <v>0.1026</v>
      </c>
      <c r="H7" s="12" t="n">
        <f aca="false">C7*N(Inputs!$B$6)+B7*(N(Inputs!$B$7)+Inputs!$B$13*N(Inputs!$B$8))</f>
        <v>0</v>
      </c>
      <c r="I7" s="12" t="n">
        <f aca="false">Inputs!$B$34+Inputs!$B$35</f>
        <v>0</v>
      </c>
      <c r="J7" s="12" t="n">
        <f aca="false">G7+H7+I7</f>
        <v>0.1026</v>
      </c>
      <c r="K7" s="12" t="n">
        <f aca="false">IF(A7&gt;0,J7/A7,0)</f>
        <v>0.002052</v>
      </c>
      <c r="L7" s="12" t="n">
        <f aca="false">IF(A7*Inputs!$B$38&gt;0,J7/(A7*Inputs!$B$38),0)</f>
        <v>0.00684</v>
      </c>
    </row>
    <row r="8" customFormat="false" ht="15" hidden="false" customHeight="false" outlineLevel="0" collapsed="false">
      <c r="A8" s="9" t="n">
        <v>100</v>
      </c>
      <c r="B8" s="20" t="n">
        <f aca="false">A8*Inputs!$B$12</f>
        <v>100</v>
      </c>
      <c r="C8" s="20" t="n">
        <f aca="false">A8*Inputs!$B$11</f>
        <v>200</v>
      </c>
      <c r="D8" s="20" t="n">
        <f aca="false">A8*Inputs!$B$19+C8*Inputs!$B$20+B8*(Inputs!$B$21+Inputs!$B$13*Inputs!$B$22+Inputs!$B$23)</f>
        <v>1000</v>
      </c>
      <c r="E8" s="20" t="n">
        <f aca="false">MAX(0,D8-Inputs!$B$28)</f>
        <v>0</v>
      </c>
      <c r="F8" s="20" t="n">
        <f aca="false">B8*Inputs!$B$14*Inputs!$B$15</f>
        <v>50</v>
      </c>
      <c r="G8" s="12" t="n">
        <f aca="false">(E8*Inputs!$B$26+F8*Inputs!$B$27)*(1+Inputs!$B$29)+0</f>
        <v>0.2052</v>
      </c>
      <c r="H8" s="12" t="n">
        <f aca="false">C8*N(Inputs!$B$6)+B8*(N(Inputs!$B$7)+Inputs!$B$13*N(Inputs!$B$8))</f>
        <v>0</v>
      </c>
      <c r="I8" s="12" t="n">
        <f aca="false">Inputs!$B$34+Inputs!$B$35</f>
        <v>0</v>
      </c>
      <c r="J8" s="12" t="n">
        <f aca="false">G8+H8+I8</f>
        <v>0.2052</v>
      </c>
      <c r="K8" s="12" t="n">
        <f aca="false">IF(A8&gt;0,J8/A8,0)</f>
        <v>0.002052</v>
      </c>
      <c r="L8" s="12" t="n">
        <f aca="false">IF(A8*Inputs!$B$38&gt;0,J8/(A8*Inputs!$B$38),0)</f>
        <v>0.00684</v>
      </c>
    </row>
    <row r="9" customFormat="false" ht="15" hidden="false" customHeight="false" outlineLevel="0" collapsed="false">
      <c r="A9" s="9" t="n">
        <v>150</v>
      </c>
      <c r="B9" s="20" t="n">
        <f aca="false">A9*Inputs!$B$12</f>
        <v>150</v>
      </c>
      <c r="C9" s="20" t="n">
        <f aca="false">A9*Inputs!$B$11</f>
        <v>300</v>
      </c>
      <c r="D9" s="20" t="n">
        <f aca="false">A9*Inputs!$B$19+C9*Inputs!$B$20+B9*(Inputs!$B$21+Inputs!$B$13*Inputs!$B$22+Inputs!$B$23)</f>
        <v>1500</v>
      </c>
      <c r="E9" s="20" t="n">
        <f aca="false">MAX(0,D9-Inputs!$B$28)</f>
        <v>500</v>
      </c>
      <c r="F9" s="20" t="n">
        <f aca="false">B9*Inputs!$B$14*Inputs!$B$15</f>
        <v>75</v>
      </c>
      <c r="G9" s="12" t="n">
        <f aca="false">(E9*Inputs!$B$26+F9*Inputs!$B$27)*(1+Inputs!$B$29)+0</f>
        <v>2.3598</v>
      </c>
      <c r="H9" s="12" t="n">
        <f aca="false">C9*N(Inputs!$B$6)+B9*(N(Inputs!$B$7)+Inputs!$B$13*N(Inputs!$B$8))</f>
        <v>0</v>
      </c>
      <c r="I9" s="12" t="n">
        <f aca="false">Inputs!$B$34+Inputs!$B$35</f>
        <v>0</v>
      </c>
      <c r="J9" s="12" t="n">
        <f aca="false">G9+H9+I9</f>
        <v>2.3598</v>
      </c>
      <c r="K9" s="12" t="n">
        <f aca="false">IF(A9&gt;0,J9/A9,0)</f>
        <v>0.015732</v>
      </c>
      <c r="L9" s="12" t="n">
        <f aca="false">IF(A9*Inputs!$B$38&gt;0,J9/(A9*Inputs!$B$38),0)</f>
        <v>0.05244</v>
      </c>
    </row>
    <row r="10" customFormat="false" ht="15" hidden="false" customHeight="false" outlineLevel="0" collapsed="false">
      <c r="A10" s="9" t="n">
        <v>200</v>
      </c>
      <c r="B10" s="20" t="n">
        <f aca="false">A10*Inputs!$B$12</f>
        <v>200</v>
      </c>
      <c r="C10" s="20" t="n">
        <f aca="false">A10*Inputs!$B$11</f>
        <v>400</v>
      </c>
      <c r="D10" s="20" t="n">
        <f aca="false">A10*Inputs!$B$19+C10*Inputs!$B$20+B10*(Inputs!$B$21+Inputs!$B$13*Inputs!$B$22+Inputs!$B$23)</f>
        <v>2000</v>
      </c>
      <c r="E10" s="20" t="n">
        <f aca="false">MAX(0,D10-Inputs!$B$28)</f>
        <v>1000</v>
      </c>
      <c r="F10" s="20" t="n">
        <f aca="false">B10*Inputs!$B$14*Inputs!$B$15</f>
        <v>100</v>
      </c>
      <c r="G10" s="12" t="n">
        <f aca="false">(E10*Inputs!$B$26+F10*Inputs!$B$27)*(1+Inputs!$B$29)+0</f>
        <v>4.5144</v>
      </c>
      <c r="H10" s="12" t="n">
        <f aca="false">C10*N(Inputs!$B$6)+B10*(N(Inputs!$B$7)+Inputs!$B$13*N(Inputs!$B$8))</f>
        <v>0</v>
      </c>
      <c r="I10" s="12" t="n">
        <f aca="false">Inputs!$B$34+Inputs!$B$35</f>
        <v>0</v>
      </c>
      <c r="J10" s="12" t="n">
        <f aca="false">G10+H10+I10</f>
        <v>4.5144</v>
      </c>
      <c r="K10" s="12" t="n">
        <f aca="false">IF(A10&gt;0,J10/A10,0)</f>
        <v>0.022572</v>
      </c>
      <c r="L10" s="12" t="n">
        <f aca="false">IF(A10*Inputs!$B$38&gt;0,J10/(A10*Inputs!$B$38),0)</f>
        <v>0.07524</v>
      </c>
    </row>
    <row r="11" customFormat="false" ht="15" hidden="false" customHeight="false" outlineLevel="0" collapsed="false">
      <c r="A11" s="9" t="n">
        <v>250</v>
      </c>
      <c r="B11" s="20" t="n">
        <f aca="false">A11*Inputs!$B$12</f>
        <v>250</v>
      </c>
      <c r="C11" s="20" t="n">
        <f aca="false">A11*Inputs!$B$11</f>
        <v>500</v>
      </c>
      <c r="D11" s="20" t="n">
        <f aca="false">A11*Inputs!$B$19+C11*Inputs!$B$20+B11*(Inputs!$B$21+Inputs!$B$13*Inputs!$B$22+Inputs!$B$23)</f>
        <v>2500</v>
      </c>
      <c r="E11" s="20" t="n">
        <f aca="false">MAX(0,D11-Inputs!$B$28)</f>
        <v>1500</v>
      </c>
      <c r="F11" s="20" t="n">
        <f aca="false">B11*Inputs!$B$14*Inputs!$B$15</f>
        <v>125</v>
      </c>
      <c r="G11" s="12" t="n">
        <f aca="false">(E11*Inputs!$B$26+F11*Inputs!$B$27)*(1+Inputs!$B$29)+0</f>
        <v>6.669</v>
      </c>
      <c r="H11" s="12" t="n">
        <f aca="false">C11*N(Inputs!$B$6)+B11*(N(Inputs!$B$7)+Inputs!$B$13*N(Inputs!$B$8))</f>
        <v>0</v>
      </c>
      <c r="I11" s="12" t="n">
        <f aca="false">Inputs!$B$34+Inputs!$B$35</f>
        <v>0</v>
      </c>
      <c r="J11" s="12" t="n">
        <f aca="false">G11+H11+I11</f>
        <v>6.669</v>
      </c>
      <c r="K11" s="12" t="n">
        <f aca="false">IF(A11&gt;0,J11/A11,0)</f>
        <v>0.026676</v>
      </c>
      <c r="L11" s="12" t="n">
        <f aca="false">IF(A11*Inputs!$B$38&gt;0,J11/(A11*Inputs!$B$38),0)</f>
        <v>0.08892</v>
      </c>
    </row>
    <row r="12" customFormat="false" ht="15" hidden="false" customHeight="false" outlineLevel="0" collapsed="false">
      <c r="A12" s="9" t="n">
        <v>300</v>
      </c>
      <c r="B12" s="20" t="n">
        <f aca="false">A12*Inputs!$B$12</f>
        <v>300</v>
      </c>
      <c r="C12" s="20" t="n">
        <f aca="false">A12*Inputs!$B$11</f>
        <v>600</v>
      </c>
      <c r="D12" s="20" t="n">
        <f aca="false">A12*Inputs!$B$19+C12*Inputs!$B$20+B12*(Inputs!$B$21+Inputs!$B$13*Inputs!$B$22+Inputs!$B$23)</f>
        <v>3000</v>
      </c>
      <c r="E12" s="20" t="n">
        <f aca="false">MAX(0,D12-Inputs!$B$28)</f>
        <v>2000</v>
      </c>
      <c r="F12" s="20" t="n">
        <f aca="false">B12*Inputs!$B$14*Inputs!$B$15</f>
        <v>150</v>
      </c>
      <c r="G12" s="12" t="n">
        <f aca="false">(E12*Inputs!$B$26+F12*Inputs!$B$27)*(1+Inputs!$B$29)+0</f>
        <v>8.8236</v>
      </c>
      <c r="H12" s="12" t="n">
        <f aca="false">C12*N(Inputs!$B$6)+B12*(N(Inputs!$B$7)+Inputs!$B$13*N(Inputs!$B$8))</f>
        <v>0</v>
      </c>
      <c r="I12" s="12" t="n">
        <f aca="false">Inputs!$B$34+Inputs!$B$35</f>
        <v>0</v>
      </c>
      <c r="J12" s="12" t="n">
        <f aca="false">G12+H12+I12</f>
        <v>8.8236</v>
      </c>
      <c r="K12" s="12" t="n">
        <f aca="false">IF(A12&gt;0,J12/A12,0)</f>
        <v>0.029412</v>
      </c>
      <c r="L12" s="12" t="n">
        <f aca="false">IF(A12*Inputs!$B$38&gt;0,J12/(A12*Inputs!$B$38),0)</f>
        <v>0.09804</v>
      </c>
    </row>
    <row r="13" customFormat="false" ht="15" hidden="false" customHeight="false" outlineLevel="0" collapsed="false">
      <c r="A13" s="9" t="n">
        <v>400</v>
      </c>
      <c r="B13" s="20" t="n">
        <f aca="false">A13*Inputs!$B$12</f>
        <v>400</v>
      </c>
      <c r="C13" s="20" t="n">
        <f aca="false">A13*Inputs!$B$11</f>
        <v>800</v>
      </c>
      <c r="D13" s="20" t="n">
        <f aca="false">A13*Inputs!$B$19+C13*Inputs!$B$20+B13*(Inputs!$B$21+Inputs!$B$13*Inputs!$B$22+Inputs!$B$23)</f>
        <v>4000</v>
      </c>
      <c r="E13" s="20" t="n">
        <f aca="false">MAX(0,D13-Inputs!$B$28)</f>
        <v>3000</v>
      </c>
      <c r="F13" s="20" t="n">
        <f aca="false">B13*Inputs!$B$14*Inputs!$B$15</f>
        <v>200</v>
      </c>
      <c r="G13" s="12" t="n">
        <f aca="false">(E13*Inputs!$B$26+F13*Inputs!$B$27)*(1+Inputs!$B$29)+0</f>
        <v>13.1328</v>
      </c>
      <c r="H13" s="12" t="n">
        <f aca="false">C13*N(Inputs!$B$6)+B13*(N(Inputs!$B$7)+Inputs!$B$13*N(Inputs!$B$8))</f>
        <v>0</v>
      </c>
      <c r="I13" s="12" t="n">
        <f aca="false">Inputs!$B$34+Inputs!$B$35</f>
        <v>0</v>
      </c>
      <c r="J13" s="12" t="n">
        <f aca="false">G13+H13+I13</f>
        <v>13.1328</v>
      </c>
      <c r="K13" s="12" t="n">
        <f aca="false">IF(A13&gt;0,J13/A13,0)</f>
        <v>0.032832</v>
      </c>
      <c r="L13" s="12" t="n">
        <f aca="false">IF(A13*Inputs!$B$38&gt;0,J13/(A13*Inputs!$B$38),0)</f>
        <v>0.10944</v>
      </c>
    </row>
    <row r="14" customFormat="false" ht="15" hidden="false" customHeight="false" outlineLevel="0" collapsed="false">
      <c r="A14" s="9" t="n">
        <v>500</v>
      </c>
      <c r="B14" s="20" t="n">
        <f aca="false">A14*Inputs!$B$12</f>
        <v>500</v>
      </c>
      <c r="C14" s="20" t="n">
        <f aca="false">A14*Inputs!$B$11</f>
        <v>1000</v>
      </c>
      <c r="D14" s="20" t="n">
        <f aca="false">A14*Inputs!$B$19+C14*Inputs!$B$20+B14*(Inputs!$B$21+Inputs!$B$13*Inputs!$B$22+Inputs!$B$23)</f>
        <v>5000</v>
      </c>
      <c r="E14" s="20" t="n">
        <f aca="false">MAX(0,D14-Inputs!$B$28)</f>
        <v>4000</v>
      </c>
      <c r="F14" s="20" t="n">
        <f aca="false">B14*Inputs!$B$14*Inputs!$B$15</f>
        <v>250</v>
      </c>
      <c r="G14" s="12" t="n">
        <f aca="false">(E14*Inputs!$B$26+F14*Inputs!$B$27)*(1+Inputs!$B$29)+0</f>
        <v>17.442</v>
      </c>
      <c r="H14" s="12" t="n">
        <f aca="false">C14*N(Inputs!$B$6)+B14*(N(Inputs!$B$7)+Inputs!$B$13*N(Inputs!$B$8))</f>
        <v>0</v>
      </c>
      <c r="I14" s="12" t="n">
        <f aca="false">Inputs!$B$34+Inputs!$B$35</f>
        <v>0</v>
      </c>
      <c r="J14" s="12" t="n">
        <f aca="false">G14+H14+I14</f>
        <v>17.442</v>
      </c>
      <c r="K14" s="12" t="n">
        <f aca="false">IF(A14&gt;0,J14/A14,0)</f>
        <v>0.034884</v>
      </c>
      <c r="L14" s="12" t="n">
        <f aca="false">IF(A14*Inputs!$B$38&gt;0,J14/(A14*Inputs!$B$38),0)</f>
        <v>0.11628</v>
      </c>
    </row>
    <row r="17" customFormat="false" ht="15" hidden="false" customHeight="false" outlineLevel="0" collapsed="false">
      <c r="A17" s="18" t="s">
        <v>88</v>
      </c>
    </row>
    <row r="18" customFormat="false" ht="31.5" hidden="false" customHeight="true" outlineLevel="0" collapsed="false">
      <c r="A18" s="19" t="s">
        <v>76</v>
      </c>
      <c r="B18" s="19" t="s">
        <v>77</v>
      </c>
      <c r="C18" s="19" t="s">
        <v>78</v>
      </c>
      <c r="D18" s="19" t="s">
        <v>79</v>
      </c>
      <c r="E18" s="19" t="s">
        <v>80</v>
      </c>
      <c r="F18" s="19" t="s">
        <v>81</v>
      </c>
      <c r="G18" s="19" t="s">
        <v>82</v>
      </c>
      <c r="H18" s="19" t="s">
        <v>83</v>
      </c>
      <c r="I18" s="19" t="s">
        <v>84</v>
      </c>
      <c r="J18" s="19" t="s">
        <v>85</v>
      </c>
      <c r="K18" s="19" t="s">
        <v>86</v>
      </c>
      <c r="L18" s="19" t="s">
        <v>87</v>
      </c>
    </row>
    <row r="19" customFormat="false" ht="15" hidden="false" customHeight="false" outlineLevel="0" collapsed="false">
      <c r="A19" s="9" t="n">
        <v>25</v>
      </c>
      <c r="B19" s="20" t="n">
        <f aca="false">A19*Inputs!$B$12</f>
        <v>25</v>
      </c>
      <c r="C19" s="20" t="n">
        <f aca="false">A19*Inputs!$B$11</f>
        <v>50</v>
      </c>
      <c r="D19" s="20" t="n">
        <f aca="false">0+C19*Inputs!$B$20+B19*(Inputs!$B$21+Inputs!$B$13*Inputs!$B$22+Inputs!$B$23)</f>
        <v>225</v>
      </c>
      <c r="E19" s="20" t="n">
        <f aca="false">MAX(0,D19-Inputs!$B$28)</f>
        <v>0</v>
      </c>
      <c r="F19" s="20" t="n">
        <f aca="false">B19*Inputs!$B$14*Inputs!$B$15</f>
        <v>12.5</v>
      </c>
      <c r="G19" s="12" t="n">
        <f aca="false">(E19*Inputs!$B$26+F19*Inputs!$B$27)*(1+Inputs!$B$29)+A19*Inputs!$B$19*Inputs!$B$30</f>
        <v>0.0513</v>
      </c>
      <c r="H19" s="12" t="n">
        <f aca="false">C19*N(Inputs!$B$6)+B19*(N(Inputs!$B$7)+Inputs!$B$13*N(Inputs!$B$8))</f>
        <v>0</v>
      </c>
      <c r="I19" s="12" t="n">
        <f aca="false">Inputs!$B$34+Inputs!$B$35</f>
        <v>0</v>
      </c>
      <c r="J19" s="12" t="n">
        <f aca="false">G19+H19+I19</f>
        <v>0.0513</v>
      </c>
      <c r="K19" s="12" t="n">
        <f aca="false">IF(A19&gt;0,J19/A19,0)</f>
        <v>0.002052</v>
      </c>
      <c r="L19" s="12" t="n">
        <f aca="false">IF(A19*Inputs!$B$38&gt;0,J19/(A19*Inputs!$B$38),0)</f>
        <v>0.00684</v>
      </c>
    </row>
    <row r="20" customFormat="false" ht="15" hidden="false" customHeight="false" outlineLevel="0" collapsed="false">
      <c r="A20" s="9" t="n">
        <v>50</v>
      </c>
      <c r="B20" s="20" t="n">
        <f aca="false">A20*Inputs!$B$12</f>
        <v>50</v>
      </c>
      <c r="C20" s="20" t="n">
        <f aca="false">A20*Inputs!$B$11</f>
        <v>100</v>
      </c>
      <c r="D20" s="20" t="n">
        <f aca="false">0+C20*Inputs!$B$20+B20*(Inputs!$B$21+Inputs!$B$13*Inputs!$B$22+Inputs!$B$23)</f>
        <v>450</v>
      </c>
      <c r="E20" s="20" t="n">
        <f aca="false">MAX(0,D20-Inputs!$B$28)</f>
        <v>0</v>
      </c>
      <c r="F20" s="20" t="n">
        <f aca="false">B20*Inputs!$B$14*Inputs!$B$15</f>
        <v>25</v>
      </c>
      <c r="G20" s="12" t="n">
        <f aca="false">(E20*Inputs!$B$26+F20*Inputs!$B$27)*(1+Inputs!$B$29)+A20*Inputs!$B$19*Inputs!$B$30</f>
        <v>0.1026</v>
      </c>
      <c r="H20" s="12" t="n">
        <f aca="false">C20*N(Inputs!$B$6)+B20*(N(Inputs!$B$7)+Inputs!$B$13*N(Inputs!$B$8))</f>
        <v>0</v>
      </c>
      <c r="I20" s="12" t="n">
        <f aca="false">Inputs!$B$34+Inputs!$B$35</f>
        <v>0</v>
      </c>
      <c r="J20" s="12" t="n">
        <f aca="false">G20+H20+I20</f>
        <v>0.1026</v>
      </c>
      <c r="K20" s="12" t="n">
        <f aca="false">IF(A20&gt;0,J20/A20,0)</f>
        <v>0.002052</v>
      </c>
      <c r="L20" s="12" t="n">
        <f aca="false">IF(A20*Inputs!$B$38&gt;0,J20/(A20*Inputs!$B$38),0)</f>
        <v>0.00684</v>
      </c>
    </row>
    <row r="21" customFormat="false" ht="15" hidden="false" customHeight="false" outlineLevel="0" collapsed="false">
      <c r="A21" s="9" t="n">
        <v>100</v>
      </c>
      <c r="B21" s="20" t="n">
        <f aca="false">A21*Inputs!$B$12</f>
        <v>100</v>
      </c>
      <c r="C21" s="20" t="n">
        <f aca="false">A21*Inputs!$B$11</f>
        <v>200</v>
      </c>
      <c r="D21" s="20" t="n">
        <f aca="false">0+C21*Inputs!$B$20+B21*(Inputs!$B$21+Inputs!$B$13*Inputs!$B$22+Inputs!$B$23)</f>
        <v>900</v>
      </c>
      <c r="E21" s="20" t="n">
        <f aca="false">MAX(0,D21-Inputs!$B$28)</f>
        <v>0</v>
      </c>
      <c r="F21" s="20" t="n">
        <f aca="false">B21*Inputs!$B$14*Inputs!$B$15</f>
        <v>50</v>
      </c>
      <c r="G21" s="12" t="n">
        <f aca="false">(E21*Inputs!$B$26+F21*Inputs!$B$27)*(1+Inputs!$B$29)+A21*Inputs!$B$19*Inputs!$B$30</f>
        <v>0.2052</v>
      </c>
      <c r="H21" s="12" t="n">
        <f aca="false">C21*N(Inputs!$B$6)+B21*(N(Inputs!$B$7)+Inputs!$B$13*N(Inputs!$B$8))</f>
        <v>0</v>
      </c>
      <c r="I21" s="12" t="n">
        <f aca="false">Inputs!$B$34+Inputs!$B$35</f>
        <v>0</v>
      </c>
      <c r="J21" s="12" t="n">
        <f aca="false">G21+H21+I21</f>
        <v>0.2052</v>
      </c>
      <c r="K21" s="12" t="n">
        <f aca="false">IF(A21&gt;0,J21/A21,0)</f>
        <v>0.002052</v>
      </c>
      <c r="L21" s="12" t="n">
        <f aca="false">IF(A21*Inputs!$B$38&gt;0,J21/(A21*Inputs!$B$38),0)</f>
        <v>0.00684</v>
      </c>
    </row>
    <row r="22" customFormat="false" ht="15" hidden="false" customHeight="false" outlineLevel="0" collapsed="false">
      <c r="A22" s="9" t="n">
        <v>150</v>
      </c>
      <c r="B22" s="20" t="n">
        <f aca="false">A22*Inputs!$B$12</f>
        <v>150</v>
      </c>
      <c r="C22" s="20" t="n">
        <f aca="false">A22*Inputs!$B$11</f>
        <v>300</v>
      </c>
      <c r="D22" s="20" t="n">
        <f aca="false">0+C22*Inputs!$B$20+B22*(Inputs!$B$21+Inputs!$B$13*Inputs!$B$22+Inputs!$B$23)</f>
        <v>1350</v>
      </c>
      <c r="E22" s="20" t="n">
        <f aca="false">MAX(0,D22-Inputs!$B$28)</f>
        <v>350</v>
      </c>
      <c r="F22" s="20" t="n">
        <f aca="false">B22*Inputs!$B$14*Inputs!$B$15</f>
        <v>75</v>
      </c>
      <c r="G22" s="12" t="n">
        <f aca="false">(E22*Inputs!$B$26+F22*Inputs!$B$27)*(1+Inputs!$B$29)+A22*Inputs!$B$19*Inputs!$B$30</f>
        <v>1.7442</v>
      </c>
      <c r="H22" s="12" t="n">
        <f aca="false">C22*N(Inputs!$B$6)+B22*(N(Inputs!$B$7)+Inputs!$B$13*N(Inputs!$B$8))</f>
        <v>0</v>
      </c>
      <c r="I22" s="12" t="n">
        <f aca="false">Inputs!$B$34+Inputs!$B$35</f>
        <v>0</v>
      </c>
      <c r="J22" s="12" t="n">
        <f aca="false">G22+H22+I22</f>
        <v>1.7442</v>
      </c>
      <c r="K22" s="12" t="n">
        <f aca="false">IF(A22&gt;0,J22/A22,0)</f>
        <v>0.011628</v>
      </c>
      <c r="L22" s="12" t="n">
        <f aca="false">IF(A22*Inputs!$B$38&gt;0,J22/(A22*Inputs!$B$38),0)</f>
        <v>0.03876</v>
      </c>
    </row>
    <row r="23" customFormat="false" ht="15" hidden="false" customHeight="false" outlineLevel="0" collapsed="false">
      <c r="A23" s="9" t="n">
        <v>200</v>
      </c>
      <c r="B23" s="20" t="n">
        <f aca="false">A23*Inputs!$B$12</f>
        <v>200</v>
      </c>
      <c r="C23" s="20" t="n">
        <f aca="false">A23*Inputs!$B$11</f>
        <v>400</v>
      </c>
      <c r="D23" s="20" t="n">
        <f aca="false">0+C23*Inputs!$B$20+B23*(Inputs!$B$21+Inputs!$B$13*Inputs!$B$22+Inputs!$B$23)</f>
        <v>1800</v>
      </c>
      <c r="E23" s="20" t="n">
        <f aca="false">MAX(0,D23-Inputs!$B$28)</f>
        <v>800</v>
      </c>
      <c r="F23" s="20" t="n">
        <f aca="false">B23*Inputs!$B$14*Inputs!$B$15</f>
        <v>100</v>
      </c>
      <c r="G23" s="12" t="n">
        <f aca="false">(E23*Inputs!$B$26+F23*Inputs!$B$27)*(1+Inputs!$B$29)+A23*Inputs!$B$19*Inputs!$B$30</f>
        <v>3.6936</v>
      </c>
      <c r="H23" s="12" t="n">
        <f aca="false">C23*N(Inputs!$B$6)+B23*(N(Inputs!$B$7)+Inputs!$B$13*N(Inputs!$B$8))</f>
        <v>0</v>
      </c>
      <c r="I23" s="12" t="n">
        <f aca="false">Inputs!$B$34+Inputs!$B$35</f>
        <v>0</v>
      </c>
      <c r="J23" s="12" t="n">
        <f aca="false">G23+H23+I23</f>
        <v>3.6936</v>
      </c>
      <c r="K23" s="12" t="n">
        <f aca="false">IF(A23&gt;0,J23/A23,0)</f>
        <v>0.018468</v>
      </c>
      <c r="L23" s="12" t="n">
        <f aca="false">IF(A23*Inputs!$B$38&gt;0,J23/(A23*Inputs!$B$38),0)</f>
        <v>0.06156</v>
      </c>
    </row>
    <row r="24" customFormat="false" ht="15" hidden="false" customHeight="false" outlineLevel="0" collapsed="false">
      <c r="A24" s="9" t="n">
        <v>250</v>
      </c>
      <c r="B24" s="20" t="n">
        <f aca="false">A24*Inputs!$B$12</f>
        <v>250</v>
      </c>
      <c r="C24" s="20" t="n">
        <f aca="false">A24*Inputs!$B$11</f>
        <v>500</v>
      </c>
      <c r="D24" s="20" t="n">
        <f aca="false">0+C24*Inputs!$B$20+B24*(Inputs!$B$21+Inputs!$B$13*Inputs!$B$22+Inputs!$B$23)</f>
        <v>2250</v>
      </c>
      <c r="E24" s="20" t="n">
        <f aca="false">MAX(0,D24-Inputs!$B$28)</f>
        <v>1250</v>
      </c>
      <c r="F24" s="20" t="n">
        <f aca="false">B24*Inputs!$B$14*Inputs!$B$15</f>
        <v>125</v>
      </c>
      <c r="G24" s="12" t="n">
        <f aca="false">(E24*Inputs!$B$26+F24*Inputs!$B$27)*(1+Inputs!$B$29)+A24*Inputs!$B$19*Inputs!$B$30</f>
        <v>5.643</v>
      </c>
      <c r="H24" s="12" t="n">
        <f aca="false">C24*N(Inputs!$B$6)+B24*(N(Inputs!$B$7)+Inputs!$B$13*N(Inputs!$B$8))</f>
        <v>0</v>
      </c>
      <c r="I24" s="12" t="n">
        <f aca="false">Inputs!$B$34+Inputs!$B$35</f>
        <v>0</v>
      </c>
      <c r="J24" s="12" t="n">
        <f aca="false">G24+H24+I24</f>
        <v>5.643</v>
      </c>
      <c r="K24" s="12" t="n">
        <f aca="false">IF(A24&gt;0,J24/A24,0)</f>
        <v>0.022572</v>
      </c>
      <c r="L24" s="12" t="n">
        <f aca="false">IF(A24*Inputs!$B$38&gt;0,J24/(A24*Inputs!$B$38),0)</f>
        <v>0.07524</v>
      </c>
    </row>
    <row r="25" customFormat="false" ht="15" hidden="false" customHeight="false" outlineLevel="0" collapsed="false">
      <c r="A25" s="9" t="n">
        <v>300</v>
      </c>
      <c r="B25" s="20" t="n">
        <f aca="false">A25*Inputs!$B$12</f>
        <v>300</v>
      </c>
      <c r="C25" s="20" t="n">
        <f aca="false">A25*Inputs!$B$11</f>
        <v>600</v>
      </c>
      <c r="D25" s="20" t="n">
        <f aca="false">0+C25*Inputs!$B$20+B25*(Inputs!$B$21+Inputs!$B$13*Inputs!$B$22+Inputs!$B$23)</f>
        <v>2700</v>
      </c>
      <c r="E25" s="20" t="n">
        <f aca="false">MAX(0,D25-Inputs!$B$28)</f>
        <v>1700</v>
      </c>
      <c r="F25" s="20" t="n">
        <f aca="false">B25*Inputs!$B$14*Inputs!$B$15</f>
        <v>150</v>
      </c>
      <c r="G25" s="12" t="n">
        <f aca="false">(E25*Inputs!$B$26+F25*Inputs!$B$27)*(1+Inputs!$B$29)+A25*Inputs!$B$19*Inputs!$B$30</f>
        <v>7.5924</v>
      </c>
      <c r="H25" s="12" t="n">
        <f aca="false">C25*N(Inputs!$B$6)+B25*(N(Inputs!$B$7)+Inputs!$B$13*N(Inputs!$B$8))</f>
        <v>0</v>
      </c>
      <c r="I25" s="12" t="n">
        <f aca="false">Inputs!$B$34+Inputs!$B$35</f>
        <v>0</v>
      </c>
      <c r="J25" s="12" t="n">
        <f aca="false">G25+H25+I25</f>
        <v>7.5924</v>
      </c>
      <c r="K25" s="12" t="n">
        <f aca="false">IF(A25&gt;0,J25/A25,0)</f>
        <v>0.025308</v>
      </c>
      <c r="L25" s="12" t="n">
        <f aca="false">IF(A25*Inputs!$B$38&gt;0,J25/(A25*Inputs!$B$38),0)</f>
        <v>0.08436</v>
      </c>
    </row>
    <row r="26" customFormat="false" ht="15" hidden="false" customHeight="false" outlineLevel="0" collapsed="false">
      <c r="A26" s="9" t="n">
        <v>400</v>
      </c>
      <c r="B26" s="20" t="n">
        <f aca="false">A26*Inputs!$B$12</f>
        <v>400</v>
      </c>
      <c r="C26" s="20" t="n">
        <f aca="false">A26*Inputs!$B$11</f>
        <v>800</v>
      </c>
      <c r="D26" s="20" t="n">
        <f aca="false">0+C26*Inputs!$B$20+B26*(Inputs!$B$21+Inputs!$B$13*Inputs!$B$22+Inputs!$B$23)</f>
        <v>3600</v>
      </c>
      <c r="E26" s="20" t="n">
        <f aca="false">MAX(0,D26-Inputs!$B$28)</f>
        <v>2600</v>
      </c>
      <c r="F26" s="20" t="n">
        <f aca="false">B26*Inputs!$B$14*Inputs!$B$15</f>
        <v>200</v>
      </c>
      <c r="G26" s="12" t="n">
        <f aca="false">(E26*Inputs!$B$26+F26*Inputs!$B$27)*(1+Inputs!$B$29)+A26*Inputs!$B$19*Inputs!$B$30</f>
        <v>11.4912</v>
      </c>
      <c r="H26" s="12" t="n">
        <f aca="false">C26*N(Inputs!$B$6)+B26*(N(Inputs!$B$7)+Inputs!$B$13*N(Inputs!$B$8))</f>
        <v>0</v>
      </c>
      <c r="I26" s="12" t="n">
        <f aca="false">Inputs!$B$34+Inputs!$B$35</f>
        <v>0</v>
      </c>
      <c r="J26" s="12" t="n">
        <f aca="false">G26+H26+I26</f>
        <v>11.4912</v>
      </c>
      <c r="K26" s="12" t="n">
        <f aca="false">IF(A26&gt;0,J26/A26,0)</f>
        <v>0.028728</v>
      </c>
      <c r="L26" s="12" t="n">
        <f aca="false">IF(A26*Inputs!$B$38&gt;0,J26/(A26*Inputs!$B$38),0)</f>
        <v>0.09576</v>
      </c>
    </row>
    <row r="27" customFormat="false" ht="15" hidden="false" customHeight="false" outlineLevel="0" collapsed="false">
      <c r="A27" s="9" t="n">
        <v>500</v>
      </c>
      <c r="B27" s="20" t="n">
        <f aca="false">A27*Inputs!$B$12</f>
        <v>500</v>
      </c>
      <c r="C27" s="20" t="n">
        <f aca="false">A27*Inputs!$B$11</f>
        <v>1000</v>
      </c>
      <c r="D27" s="20" t="n">
        <f aca="false">0+C27*Inputs!$B$20+B27*(Inputs!$B$21+Inputs!$B$13*Inputs!$B$22+Inputs!$B$23)</f>
        <v>4500</v>
      </c>
      <c r="E27" s="20" t="n">
        <f aca="false">MAX(0,D27-Inputs!$B$28)</f>
        <v>3500</v>
      </c>
      <c r="F27" s="20" t="n">
        <f aca="false">B27*Inputs!$B$14*Inputs!$B$15</f>
        <v>250</v>
      </c>
      <c r="G27" s="12" t="n">
        <f aca="false">(E27*Inputs!$B$26+F27*Inputs!$B$27)*(1+Inputs!$B$29)+A27*Inputs!$B$19*Inputs!$B$30</f>
        <v>15.39</v>
      </c>
      <c r="H27" s="12" t="n">
        <f aca="false">C27*N(Inputs!$B$6)+B27*(N(Inputs!$B$7)+Inputs!$B$13*N(Inputs!$B$8))</f>
        <v>0</v>
      </c>
      <c r="I27" s="12" t="n">
        <f aca="false">Inputs!$B$34+Inputs!$B$35</f>
        <v>0</v>
      </c>
      <c r="J27" s="12" t="n">
        <f aca="false">G27+H27+I27</f>
        <v>15.39</v>
      </c>
      <c r="K27" s="12" t="n">
        <f aca="false">IF(A27&gt;0,J27/A27,0)</f>
        <v>0.03078</v>
      </c>
      <c r="L27" s="12" t="n">
        <f aca="false">IF(A27*Inputs!$B$38&gt;0,J27/(A27*Inputs!$B$38),0)</f>
        <v>0.1026</v>
      </c>
    </row>
    <row r="29" customFormat="false" ht="15" hidden="false" customHeight="false" outlineLevel="0" collapsed="false">
      <c r="A29" s="21" t="s">
        <v>89</v>
      </c>
    </row>
    <row r="30" customFormat="false" ht="15" hidden="false" customHeight="false" outlineLevel="0" collapsed="false">
      <c r="A30" s="21" t="s">
        <v>90</v>
      </c>
    </row>
    <row r="31" customFormat="false" ht="15" hidden="false" customHeight="false" outlineLevel="0" collapsed="false">
      <c r="A31" s="21" t="s">
        <v>91</v>
      </c>
    </row>
    <row r="32" customFormat="false" ht="15" hidden="false" customHeight="false" outlineLevel="0" collapsed="false">
      <c r="A32" s="21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5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2" t="s">
        <v>94</v>
      </c>
    </row>
    <row r="4" customFormat="false" ht="31.5" hidden="false" customHeight="true" outlineLevel="0" collapsed="false">
      <c r="A4" s="19" t="s">
        <v>76</v>
      </c>
      <c r="B4" s="19" t="s">
        <v>95</v>
      </c>
      <c r="C4" s="19" t="s">
        <v>96</v>
      </c>
      <c r="D4" s="19" t="s">
        <v>97</v>
      </c>
      <c r="E4" s="19" t="s">
        <v>98</v>
      </c>
      <c r="F4" s="19" t="s">
        <v>99</v>
      </c>
      <c r="G4" s="19" t="s">
        <v>100</v>
      </c>
      <c r="H4" s="19" t="s">
        <v>101</v>
      </c>
    </row>
    <row r="5" customFormat="false" ht="15" hidden="false" customHeight="false" outlineLevel="0" collapsed="false">
      <c r="A5" s="23" t="n">
        <f aca="false">Inputs!$B$43</f>
        <v>15</v>
      </c>
      <c r="B5" s="24" t="n">
        <f aca="false">A5*Inputs!$B$38</f>
        <v>4.5</v>
      </c>
      <c r="C5" s="25" t="n">
        <f aca="false">B5*Inputs!$B$40*Inputs!$B$39</f>
        <v>4500</v>
      </c>
      <c r="D5" s="12" t="n">
        <f aca="false">N(Inputs!$B$16)*A5*Inputs!$B$12</f>
        <v>0</v>
      </c>
      <c r="E5" s="26" t="n">
        <f aca="false">IF(C5&gt;0,D5/C5,0)</f>
        <v>0</v>
      </c>
      <c r="F5" s="24" t="n">
        <f aca="false">A5*Inputs!$B$12*Inputs!$B$41</f>
        <v>22.5</v>
      </c>
      <c r="G5" s="24" t="n">
        <f aca="false">A5*Inputs!$B$12*Inputs!$B$42</f>
        <v>3.75</v>
      </c>
      <c r="H5" s="24" t="n">
        <f aca="false">F5-G5</f>
        <v>18.75</v>
      </c>
      <c r="I5" s="18" t="s">
        <v>102</v>
      </c>
    </row>
    <row r="6" customFormat="false" ht="15" hidden="false" customHeight="false" outlineLevel="0" collapsed="false">
      <c r="A6" s="23" t="n">
        <f aca="false">'Monthly cost'!A6</f>
        <v>25</v>
      </c>
      <c r="B6" s="24" t="n">
        <f aca="false">A6*Inputs!$B$38</f>
        <v>7.5</v>
      </c>
      <c r="C6" s="25" t="n">
        <f aca="false">B6*Inputs!$B$40*Inputs!$B$39</f>
        <v>7500</v>
      </c>
      <c r="D6" s="27" t="n">
        <f aca="false">'Monthly cost'!J6</f>
        <v>0.0513</v>
      </c>
      <c r="E6" s="26" t="n">
        <f aca="false">IF(C6&gt;0,D6/C6,0)</f>
        <v>6.84E-006</v>
      </c>
      <c r="F6" s="24" t="n">
        <f aca="false">A6*Inputs!$B$12*Inputs!$B$41</f>
        <v>37.5</v>
      </c>
      <c r="G6" s="24" t="n">
        <f aca="false">A6*Inputs!$B$12*Inputs!$B$42</f>
        <v>6.25</v>
      </c>
      <c r="H6" s="24" t="n">
        <f aca="false">F6-G6</f>
        <v>31.25</v>
      </c>
    </row>
    <row r="7" customFormat="false" ht="15" hidden="false" customHeight="false" outlineLevel="0" collapsed="false">
      <c r="A7" s="23" t="n">
        <f aca="false">'Monthly cost'!A7</f>
        <v>50</v>
      </c>
      <c r="B7" s="24" t="n">
        <f aca="false">A7*Inputs!$B$38</f>
        <v>15</v>
      </c>
      <c r="C7" s="25" t="n">
        <f aca="false">B7*Inputs!$B$40*Inputs!$B$39</f>
        <v>15000</v>
      </c>
      <c r="D7" s="27" t="n">
        <f aca="false">'Monthly cost'!J7</f>
        <v>0.1026</v>
      </c>
      <c r="E7" s="26" t="n">
        <f aca="false">IF(C7&gt;0,D7/C7,0)</f>
        <v>6.84E-006</v>
      </c>
      <c r="F7" s="24" t="n">
        <f aca="false">A7*Inputs!$B$12*Inputs!$B$41</f>
        <v>75</v>
      </c>
      <c r="G7" s="24" t="n">
        <f aca="false">A7*Inputs!$B$12*Inputs!$B$42</f>
        <v>12.5</v>
      </c>
      <c r="H7" s="24" t="n">
        <f aca="false">F7-G7</f>
        <v>62.5</v>
      </c>
    </row>
    <row r="8" customFormat="false" ht="15" hidden="false" customHeight="false" outlineLevel="0" collapsed="false">
      <c r="A8" s="23" t="n">
        <f aca="false">'Monthly cost'!A8</f>
        <v>100</v>
      </c>
      <c r="B8" s="24" t="n">
        <f aca="false">A8*Inputs!$B$38</f>
        <v>30</v>
      </c>
      <c r="C8" s="25" t="n">
        <f aca="false">B8*Inputs!$B$40*Inputs!$B$39</f>
        <v>30000</v>
      </c>
      <c r="D8" s="27" t="n">
        <f aca="false">'Monthly cost'!J8</f>
        <v>0.2052</v>
      </c>
      <c r="E8" s="26" t="n">
        <f aca="false">IF(C8&gt;0,D8/C8,0)</f>
        <v>6.84E-006</v>
      </c>
      <c r="F8" s="24" t="n">
        <f aca="false">A8*Inputs!$B$12*Inputs!$B$41</f>
        <v>150</v>
      </c>
      <c r="G8" s="24" t="n">
        <f aca="false">A8*Inputs!$B$12*Inputs!$B$42</f>
        <v>25</v>
      </c>
      <c r="H8" s="24" t="n">
        <f aca="false">F8-G8</f>
        <v>125</v>
      </c>
    </row>
    <row r="9" customFormat="false" ht="15" hidden="false" customHeight="false" outlineLevel="0" collapsed="false">
      <c r="A9" s="23" t="n">
        <f aca="false">'Monthly cost'!A9</f>
        <v>150</v>
      </c>
      <c r="B9" s="24" t="n">
        <f aca="false">A9*Inputs!$B$38</f>
        <v>45</v>
      </c>
      <c r="C9" s="25" t="n">
        <f aca="false">B9*Inputs!$B$40*Inputs!$B$39</f>
        <v>45000</v>
      </c>
      <c r="D9" s="27" t="n">
        <f aca="false">'Monthly cost'!J9</f>
        <v>2.3598</v>
      </c>
      <c r="E9" s="26" t="n">
        <f aca="false">IF(C9&gt;0,D9/C9,0)</f>
        <v>5.244E-005</v>
      </c>
      <c r="F9" s="24" t="n">
        <f aca="false">A9*Inputs!$B$12*Inputs!$B$41</f>
        <v>225</v>
      </c>
      <c r="G9" s="24" t="n">
        <f aca="false">A9*Inputs!$B$12*Inputs!$B$42</f>
        <v>37.5</v>
      </c>
      <c r="H9" s="24" t="n">
        <f aca="false">F9-G9</f>
        <v>187.5</v>
      </c>
    </row>
    <row r="10" customFormat="false" ht="15" hidden="false" customHeight="false" outlineLevel="0" collapsed="false">
      <c r="A10" s="23" t="n">
        <f aca="false">'Monthly cost'!A10</f>
        <v>200</v>
      </c>
      <c r="B10" s="24" t="n">
        <f aca="false">A10*Inputs!$B$38</f>
        <v>60</v>
      </c>
      <c r="C10" s="25" t="n">
        <f aca="false">B10*Inputs!$B$40*Inputs!$B$39</f>
        <v>60000</v>
      </c>
      <c r="D10" s="27" t="n">
        <f aca="false">'Monthly cost'!J10</f>
        <v>4.5144</v>
      </c>
      <c r="E10" s="26" t="n">
        <f aca="false">IF(C10&gt;0,D10/C10,0)</f>
        <v>7.524E-005</v>
      </c>
      <c r="F10" s="24" t="n">
        <f aca="false">A10*Inputs!$B$12*Inputs!$B$41</f>
        <v>300</v>
      </c>
      <c r="G10" s="24" t="n">
        <f aca="false">A10*Inputs!$B$12*Inputs!$B$42</f>
        <v>50</v>
      </c>
      <c r="H10" s="24" t="n">
        <f aca="false">F10-G10</f>
        <v>250</v>
      </c>
    </row>
    <row r="11" customFormat="false" ht="15" hidden="false" customHeight="false" outlineLevel="0" collapsed="false">
      <c r="A11" s="23" t="n">
        <f aca="false">'Monthly cost'!A11</f>
        <v>250</v>
      </c>
      <c r="B11" s="24" t="n">
        <f aca="false">A11*Inputs!$B$38</f>
        <v>75</v>
      </c>
      <c r="C11" s="25" t="n">
        <f aca="false">B11*Inputs!$B$40*Inputs!$B$39</f>
        <v>75000</v>
      </c>
      <c r="D11" s="27" t="n">
        <f aca="false">'Monthly cost'!J11</f>
        <v>6.669</v>
      </c>
      <c r="E11" s="26" t="n">
        <f aca="false">IF(C11&gt;0,D11/C11,0)</f>
        <v>8.892E-005</v>
      </c>
      <c r="F11" s="24" t="n">
        <f aca="false">A11*Inputs!$B$12*Inputs!$B$41</f>
        <v>375</v>
      </c>
      <c r="G11" s="24" t="n">
        <f aca="false">A11*Inputs!$B$12*Inputs!$B$42</f>
        <v>62.5</v>
      </c>
      <c r="H11" s="24" t="n">
        <f aca="false">F11-G11</f>
        <v>312.5</v>
      </c>
    </row>
    <row r="12" customFormat="false" ht="15" hidden="false" customHeight="false" outlineLevel="0" collapsed="false">
      <c r="A12" s="23" t="n">
        <f aca="false">'Monthly cost'!A12</f>
        <v>300</v>
      </c>
      <c r="B12" s="24" t="n">
        <f aca="false">A12*Inputs!$B$38</f>
        <v>90</v>
      </c>
      <c r="C12" s="25" t="n">
        <f aca="false">B12*Inputs!$B$40*Inputs!$B$39</f>
        <v>90000</v>
      </c>
      <c r="D12" s="27" t="n">
        <f aca="false">'Monthly cost'!J12</f>
        <v>8.8236</v>
      </c>
      <c r="E12" s="26" t="n">
        <f aca="false">IF(C12&gt;0,D12/C12,0)</f>
        <v>9.804E-005</v>
      </c>
      <c r="F12" s="24" t="n">
        <f aca="false">A12*Inputs!$B$12*Inputs!$B$41</f>
        <v>450</v>
      </c>
      <c r="G12" s="24" t="n">
        <f aca="false">A12*Inputs!$B$12*Inputs!$B$42</f>
        <v>75</v>
      </c>
      <c r="H12" s="24" t="n">
        <f aca="false">F12-G12</f>
        <v>375</v>
      </c>
    </row>
    <row r="13" customFormat="false" ht="15" hidden="false" customHeight="false" outlineLevel="0" collapsed="false">
      <c r="A13" s="23" t="n">
        <f aca="false">'Monthly cost'!A13</f>
        <v>400</v>
      </c>
      <c r="B13" s="24" t="n">
        <f aca="false">A13*Inputs!$B$38</f>
        <v>120</v>
      </c>
      <c r="C13" s="25" t="n">
        <f aca="false">B13*Inputs!$B$40*Inputs!$B$39</f>
        <v>120000</v>
      </c>
      <c r="D13" s="27" t="n">
        <f aca="false">'Monthly cost'!J13</f>
        <v>13.1328</v>
      </c>
      <c r="E13" s="26" t="n">
        <f aca="false">IF(C13&gt;0,D13/C13,0)</f>
        <v>0.00010944</v>
      </c>
      <c r="F13" s="24" t="n">
        <f aca="false">A13*Inputs!$B$12*Inputs!$B$41</f>
        <v>600</v>
      </c>
      <c r="G13" s="24" t="n">
        <f aca="false">A13*Inputs!$B$12*Inputs!$B$42</f>
        <v>100</v>
      </c>
      <c r="H13" s="24" t="n">
        <f aca="false">F13-G13</f>
        <v>500</v>
      </c>
    </row>
    <row r="14" customFormat="false" ht="15" hidden="false" customHeight="false" outlineLevel="0" collapsed="false">
      <c r="A14" s="23" t="n">
        <f aca="false">'Monthly cost'!A14</f>
        <v>500</v>
      </c>
      <c r="B14" s="24" t="n">
        <f aca="false">A14*Inputs!$B$38</f>
        <v>150</v>
      </c>
      <c r="C14" s="25" t="n">
        <f aca="false">B14*Inputs!$B$40*Inputs!$B$39</f>
        <v>150000</v>
      </c>
      <c r="D14" s="27" t="n">
        <f aca="false">'Monthly cost'!J14</f>
        <v>17.442</v>
      </c>
      <c r="E14" s="26" t="n">
        <f aca="false">IF(C14&gt;0,D14/C14,0)</f>
        <v>0.00011628</v>
      </c>
      <c r="F14" s="24" t="n">
        <f aca="false">A14*Inputs!$B$12*Inputs!$B$41</f>
        <v>750</v>
      </c>
      <c r="G14" s="24" t="n">
        <f aca="false">A14*Inputs!$B$12*Inputs!$B$42</f>
        <v>125</v>
      </c>
      <c r="H14" s="24" t="n">
        <f aca="false">F14-G14</f>
        <v>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15" hidden="false" customHeight="false" outlineLevel="0" collapsed="false">
      <c r="A4" s="28" t="s">
        <v>76</v>
      </c>
      <c r="B4" s="29" t="n">
        <v>0.5</v>
      </c>
      <c r="C4" s="29" t="n">
        <v>1</v>
      </c>
      <c r="D4" s="29" t="n">
        <v>2</v>
      </c>
      <c r="E4" s="29" t="n">
        <v>3</v>
      </c>
      <c r="F4" s="29" t="n">
        <v>5</v>
      </c>
    </row>
    <row r="5" customFormat="false" ht="15" hidden="false" customHeight="false" outlineLevel="0" collapsed="false">
      <c r="A5" s="30" t="n">
        <f aca="false">'Monthly cost'!A6</f>
        <v>25</v>
      </c>
      <c r="B5" s="31" t="n">
        <f aca="false">'Monthly cost'!G6+'Monthly cost'!I6+A5*Inputs!$B$12*B$4</f>
        <v>12.5513</v>
      </c>
      <c r="C5" s="31" t="n">
        <f aca="false">'Monthly cost'!G6+'Monthly cost'!I6+A5*Inputs!$B$12*C$4</f>
        <v>25.0513</v>
      </c>
      <c r="D5" s="31" t="n">
        <f aca="false">'Monthly cost'!G6+'Monthly cost'!I6+A5*Inputs!$B$12*D$4</f>
        <v>50.0513</v>
      </c>
      <c r="E5" s="31" t="n">
        <f aca="false">'Monthly cost'!G6+'Monthly cost'!I6+A5*Inputs!$B$12*E$4</f>
        <v>75.0513</v>
      </c>
      <c r="F5" s="31" t="n">
        <f aca="false">'Monthly cost'!G6+'Monthly cost'!I6+A5*Inputs!$B$12*F$4</f>
        <v>125.0513</v>
      </c>
    </row>
    <row r="6" customFormat="false" ht="15" hidden="false" customHeight="false" outlineLevel="0" collapsed="false">
      <c r="A6" s="30" t="n">
        <f aca="false">'Monthly cost'!A7</f>
        <v>50</v>
      </c>
      <c r="B6" s="31" t="n">
        <f aca="false">'Monthly cost'!G7+'Monthly cost'!I7+A6*Inputs!$B$12*B$4</f>
        <v>25.1026</v>
      </c>
      <c r="C6" s="31" t="n">
        <f aca="false">'Monthly cost'!G7+'Monthly cost'!I7+A6*Inputs!$B$12*C$4</f>
        <v>50.1026</v>
      </c>
      <c r="D6" s="31" t="n">
        <f aca="false">'Monthly cost'!G7+'Monthly cost'!I7+A6*Inputs!$B$12*D$4</f>
        <v>100.1026</v>
      </c>
      <c r="E6" s="31" t="n">
        <f aca="false">'Monthly cost'!G7+'Monthly cost'!I7+A6*Inputs!$B$12*E$4</f>
        <v>150.1026</v>
      </c>
      <c r="F6" s="31" t="n">
        <f aca="false">'Monthly cost'!G7+'Monthly cost'!I7+A6*Inputs!$B$12*F$4</f>
        <v>250.1026</v>
      </c>
    </row>
    <row r="7" customFormat="false" ht="15" hidden="false" customHeight="false" outlineLevel="0" collapsed="false">
      <c r="A7" s="30" t="n">
        <f aca="false">'Monthly cost'!A8</f>
        <v>100</v>
      </c>
      <c r="B7" s="31" t="n">
        <f aca="false">'Monthly cost'!G8+'Monthly cost'!I8+A7*Inputs!$B$12*B$4</f>
        <v>50.2052</v>
      </c>
      <c r="C7" s="31" t="n">
        <f aca="false">'Monthly cost'!G8+'Monthly cost'!I8+A7*Inputs!$B$12*C$4</f>
        <v>100.2052</v>
      </c>
      <c r="D7" s="31" t="n">
        <f aca="false">'Monthly cost'!G8+'Monthly cost'!I8+A7*Inputs!$B$12*D$4</f>
        <v>200.2052</v>
      </c>
      <c r="E7" s="31" t="n">
        <f aca="false">'Monthly cost'!G8+'Monthly cost'!I8+A7*Inputs!$B$12*E$4</f>
        <v>300.2052</v>
      </c>
      <c r="F7" s="31" t="n">
        <f aca="false">'Monthly cost'!G8+'Monthly cost'!I8+A7*Inputs!$B$12*F$4</f>
        <v>500.2052</v>
      </c>
    </row>
    <row r="8" customFormat="false" ht="15" hidden="false" customHeight="false" outlineLevel="0" collapsed="false">
      <c r="A8" s="30" t="n">
        <f aca="false">'Monthly cost'!A9</f>
        <v>150</v>
      </c>
      <c r="B8" s="31" t="n">
        <f aca="false">'Monthly cost'!G9+'Monthly cost'!I9+A8*Inputs!$B$12*B$4</f>
        <v>77.3598</v>
      </c>
      <c r="C8" s="31" t="n">
        <f aca="false">'Monthly cost'!G9+'Monthly cost'!I9+A8*Inputs!$B$12*C$4</f>
        <v>152.3598</v>
      </c>
      <c r="D8" s="31" t="n">
        <f aca="false">'Monthly cost'!G9+'Monthly cost'!I9+A8*Inputs!$B$12*D$4</f>
        <v>302.3598</v>
      </c>
      <c r="E8" s="31" t="n">
        <f aca="false">'Monthly cost'!G9+'Monthly cost'!I9+A8*Inputs!$B$12*E$4</f>
        <v>452.3598</v>
      </c>
      <c r="F8" s="31" t="n">
        <f aca="false">'Monthly cost'!G9+'Monthly cost'!I9+A8*Inputs!$B$12*F$4</f>
        <v>752.3598</v>
      </c>
    </row>
    <row r="9" customFormat="false" ht="15" hidden="false" customHeight="false" outlineLevel="0" collapsed="false">
      <c r="A9" s="30" t="n">
        <f aca="false">'Monthly cost'!A10</f>
        <v>200</v>
      </c>
      <c r="B9" s="31" t="n">
        <f aca="false">'Monthly cost'!G10+'Monthly cost'!I10+A9*Inputs!$B$12*B$4</f>
        <v>104.5144</v>
      </c>
      <c r="C9" s="31" t="n">
        <f aca="false">'Monthly cost'!G10+'Monthly cost'!I10+A9*Inputs!$B$12*C$4</f>
        <v>204.5144</v>
      </c>
      <c r="D9" s="31" t="n">
        <f aca="false">'Monthly cost'!G10+'Monthly cost'!I10+A9*Inputs!$B$12*D$4</f>
        <v>404.5144</v>
      </c>
      <c r="E9" s="31" t="n">
        <f aca="false">'Monthly cost'!G10+'Monthly cost'!I10+A9*Inputs!$B$12*E$4</f>
        <v>604.5144</v>
      </c>
      <c r="F9" s="31" t="n">
        <f aca="false">'Monthly cost'!G10+'Monthly cost'!I10+A9*Inputs!$B$12*F$4</f>
        <v>1004.5144</v>
      </c>
    </row>
    <row r="10" customFormat="false" ht="15" hidden="false" customHeight="false" outlineLevel="0" collapsed="false">
      <c r="A10" s="30" t="n">
        <f aca="false">'Monthly cost'!A11</f>
        <v>250</v>
      </c>
      <c r="B10" s="31" t="n">
        <f aca="false">'Monthly cost'!G11+'Monthly cost'!I11+A10*Inputs!$B$12*B$4</f>
        <v>131.669</v>
      </c>
      <c r="C10" s="31" t="n">
        <f aca="false">'Monthly cost'!G11+'Monthly cost'!I11+A10*Inputs!$B$12*C$4</f>
        <v>256.669</v>
      </c>
      <c r="D10" s="31" t="n">
        <f aca="false">'Monthly cost'!G11+'Monthly cost'!I11+A10*Inputs!$B$12*D$4</f>
        <v>506.669</v>
      </c>
      <c r="E10" s="31" t="n">
        <f aca="false">'Monthly cost'!G11+'Monthly cost'!I11+A10*Inputs!$B$12*E$4</f>
        <v>756.669</v>
      </c>
      <c r="F10" s="31" t="n">
        <f aca="false">'Monthly cost'!G11+'Monthly cost'!I11+A10*Inputs!$B$12*F$4</f>
        <v>1256.669</v>
      </c>
    </row>
    <row r="11" customFormat="false" ht="15" hidden="false" customHeight="false" outlineLevel="0" collapsed="false">
      <c r="A11" s="30" t="n">
        <f aca="false">'Monthly cost'!A12</f>
        <v>300</v>
      </c>
      <c r="B11" s="31" t="n">
        <f aca="false">'Monthly cost'!G12+'Monthly cost'!I12+A11*Inputs!$B$12*B$4</f>
        <v>158.8236</v>
      </c>
      <c r="C11" s="31" t="n">
        <f aca="false">'Monthly cost'!G12+'Monthly cost'!I12+A11*Inputs!$B$12*C$4</f>
        <v>308.8236</v>
      </c>
      <c r="D11" s="31" t="n">
        <f aca="false">'Monthly cost'!G12+'Monthly cost'!I12+A11*Inputs!$B$12*D$4</f>
        <v>608.8236</v>
      </c>
      <c r="E11" s="31" t="n">
        <f aca="false">'Monthly cost'!G12+'Monthly cost'!I12+A11*Inputs!$B$12*E$4</f>
        <v>908.8236</v>
      </c>
      <c r="F11" s="31" t="n">
        <f aca="false">'Monthly cost'!G12+'Monthly cost'!I12+A11*Inputs!$B$12*F$4</f>
        <v>1508.8236</v>
      </c>
    </row>
    <row r="12" customFormat="false" ht="15" hidden="false" customHeight="false" outlineLevel="0" collapsed="false">
      <c r="A12" s="30" t="n">
        <f aca="false">'Monthly cost'!A13</f>
        <v>400</v>
      </c>
      <c r="B12" s="31" t="n">
        <f aca="false">'Monthly cost'!G13+'Monthly cost'!I13+A12*Inputs!$B$12*B$4</f>
        <v>213.1328</v>
      </c>
      <c r="C12" s="31" t="n">
        <f aca="false">'Monthly cost'!G13+'Monthly cost'!I13+A12*Inputs!$B$12*C$4</f>
        <v>413.1328</v>
      </c>
      <c r="D12" s="31" t="n">
        <f aca="false">'Monthly cost'!G13+'Monthly cost'!I13+A12*Inputs!$B$12*D$4</f>
        <v>813.1328</v>
      </c>
      <c r="E12" s="31" t="n">
        <f aca="false">'Monthly cost'!G13+'Monthly cost'!I13+A12*Inputs!$B$12*E$4</f>
        <v>1213.1328</v>
      </c>
      <c r="F12" s="31" t="n">
        <f aca="false">'Monthly cost'!G13+'Monthly cost'!I13+A12*Inputs!$B$12*F$4</f>
        <v>2013.1328</v>
      </c>
    </row>
    <row r="13" customFormat="false" ht="15" hidden="false" customHeight="false" outlineLevel="0" collapsed="false">
      <c r="A13" s="30" t="n">
        <f aca="false">'Monthly cost'!A14</f>
        <v>500</v>
      </c>
      <c r="B13" s="31" t="n">
        <f aca="false">'Monthly cost'!G14+'Monthly cost'!I14+A13*Inputs!$B$12*B$4</f>
        <v>267.442</v>
      </c>
      <c r="C13" s="31" t="n">
        <f aca="false">'Monthly cost'!G14+'Monthly cost'!I14+A13*Inputs!$B$12*C$4</f>
        <v>517.442</v>
      </c>
      <c r="D13" s="31" t="n">
        <f aca="false">'Monthly cost'!G14+'Monthly cost'!I14+A13*Inputs!$B$12*D$4</f>
        <v>1017.442</v>
      </c>
      <c r="E13" s="31" t="n">
        <f aca="false">'Monthly cost'!G14+'Monthly cost'!I14+A13*Inputs!$B$12*E$4</f>
        <v>1517.442</v>
      </c>
      <c r="F13" s="31" t="n">
        <f aca="false">'Monthly cost'!G14+'Monthly cost'!I14+A13*Inputs!$B$12*F$4</f>
        <v>2517.442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32" t="s">
        <v>105</v>
      </c>
    </row>
    <row r="2" customFormat="false" ht="39.55" hidden="false" customHeight="false" outlineLevel="0" collapsed="false">
      <c r="A2" s="33" t="s">
        <v>106</v>
      </c>
    </row>
    <row r="3" customFormat="false" ht="26.85" hidden="false" customHeight="false" outlineLevel="0" collapsed="false">
      <c r="A3" s="33" t="s">
        <v>107</v>
      </c>
    </row>
    <row r="4" customFormat="false" ht="15" hidden="false" customHeight="false" outlineLevel="0" collapsed="false">
      <c r="A4" s="33" t="s">
        <v>108</v>
      </c>
    </row>
    <row r="5" customFormat="false" ht="15" hidden="false" customHeight="false" outlineLevel="0" collapsed="false">
      <c r="A5" s="33" t="s">
        <v>109</v>
      </c>
    </row>
    <row r="6" customFormat="false" ht="15" hidden="false" customHeight="false" outlineLevel="0" collapsed="false">
      <c r="A6" s="33" t="s">
        <v>110</v>
      </c>
    </row>
    <row r="7" customFormat="false" ht="15" hidden="false" customHeight="false" outlineLevel="0" collapsed="false">
      <c r="A7" s="3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2026-10-03T18:26:19Z</dcterms:created>
  <dc:creator>openpyxl</dc:creator>
  <dc:description/>
  <dc:language>en-US</dc:language>
  <cp:lastModifiedBy/>
  <dcterms:modified xsi:type="dcterms:W3CDTF">2026-10-03T18:26:21Z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