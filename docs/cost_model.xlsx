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nthly cost" sheetId="2" state="visible" r:id="rId2"/>
    <sheet name="Value" sheetId="3" state="visible" r:id="rId3"/>
    <sheet name="Sensitivity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00;($#,##0.0000);&quot;-&quot;"/>
    <numFmt numFmtId="165" formatCode="#,##0;(#,##0);&quot;-&quot;"/>
    <numFmt numFmtId="166" formatCode="0.0%;(0.0%);&quot;-&quot;"/>
    <numFmt numFmtId="167" formatCode="#,##0.0;(#,##0.0);&quot;-&quot;"/>
    <numFmt numFmtId="168" formatCode="$#,##0.00;($#,##0.00);&quot;-&quot;"/>
    <numFmt numFmtId="169" formatCode="$#,##0;($#,##0);&quot;-&quot;"/>
    <numFmt numFmtId="170" formatCode="&quot;$&quot;0.00&quot; / client&quot;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  <color rgb="00008000"/>
    </font>
    <font>
      <name val="Arial"/>
      <b val="1"/>
    </font>
    <font>
      <name val="Arial"/>
    </font>
    <font>
      <name val="Arial"/>
      <color rgb="000000FF"/>
    </font>
    <font>
      <name val="Arial"/>
      <i val="1"/>
      <color rgb="00595959"/>
    </font>
    <font>
      <name val="Arial"/>
      <b val="1"/>
      <color rgb="00C00000"/>
    </font>
    <font>
      <name val="Arial"/>
      <b val="1"/>
      <color rgb="00FFFFFF"/>
    </font>
    <font>
      <name val="Arial"/>
      <i val="1"/>
      <color rgb="00C00000"/>
    </font>
    <font>
      <name val="Arial"/>
      <color rgb="0000800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1" pivotButton="0" quotePrefix="0" xfId="0"/>
    <xf numFmtId="164" fontId="6" fillId="0" borderId="1" pivotButton="0" quotePrefix="0" xfId="0"/>
    <xf numFmtId="0" fontId="7" fillId="0" borderId="1" applyAlignment="1" pivotButton="0" quotePrefix="0" xfId="0">
      <alignment vertical="top" wrapText="1"/>
    </xf>
    <xf numFmtId="165" fontId="6" fillId="0" borderId="1" pivotButton="0" quotePrefix="0" xfId="0"/>
    <xf numFmtId="166" fontId="6" fillId="3" borderId="1" pivotButton="0" quotePrefix="0" xfId="0"/>
    <xf numFmtId="167" fontId="6" fillId="3" borderId="1" pivotButton="0" quotePrefix="0" xfId="0"/>
    <xf numFmtId="168" fontId="5" fillId="0" borderId="1" pivotButton="0" quotePrefix="0" xfId="0"/>
    <xf numFmtId="169" fontId="6" fillId="3" borderId="1" pivotButton="0" quotePrefix="0" xfId="0"/>
    <xf numFmtId="169" fontId="6" fillId="0" borderId="1" pivotButton="0" quotePrefix="0" xfId="0"/>
    <xf numFmtId="166" fontId="6" fillId="0" borderId="1" pivotButton="0" quotePrefix="0" xfId="0"/>
    <xf numFmtId="167" fontId="6" fillId="0" borderId="1" pivotButton="0" quotePrefix="0" xfId="0"/>
    <xf numFmtId="0" fontId="8" fillId="0" borderId="0" pivotButton="0" quotePrefix="0" xfId="0"/>
    <xf numFmtId="0" fontId="4" fillId="0" borderId="0" pivotButton="0" quotePrefix="0" xfId="0"/>
    <xf numFmtId="0" fontId="9" fillId="4" borderId="0" applyAlignment="1" pivotButton="0" quotePrefix="0" xfId="0">
      <alignment horizontal="center" vertical="center" wrapText="1"/>
    </xf>
    <xf numFmtId="165" fontId="5" fillId="0" borderId="1" pivotButton="0" quotePrefix="0" xfId="0"/>
    <xf numFmtId="0" fontId="7" fillId="0" borderId="0" pivotButton="0" quotePrefix="0" xfId="0"/>
    <xf numFmtId="0" fontId="10" fillId="0" borderId="0" pivotButton="0" quotePrefix="0" xfId="0"/>
    <xf numFmtId="165" fontId="11" fillId="0" borderId="1" pivotButton="0" quotePrefix="0" xfId="0"/>
    <xf numFmtId="167" fontId="5" fillId="0" borderId="1" pivotButton="0" quotePrefix="0" xfId="0"/>
    <xf numFmtId="169" fontId="5" fillId="0" borderId="1" pivotButton="0" quotePrefix="0" xfId="0"/>
    <xf numFmtId="166" fontId="5" fillId="0" borderId="1" pivotButton="0" quotePrefix="0" xfId="0"/>
    <xf numFmtId="168" fontId="11" fillId="0" borderId="1" pivotButton="0" quotePrefix="0" xfId="0"/>
    <xf numFmtId="0" fontId="9" fillId="4" borderId="0" pivotButton="0" quotePrefix="0" xfId="0"/>
    <xf numFmtId="170" fontId="9" fillId="4" borderId="0" pivotButton="0" quotePrefix="0" xfId="0"/>
    <xf numFmtId="165" fontId="11" fillId="0" borderId="0" pivotButton="0" quotePrefix="0" xfId="0"/>
    <xf numFmtId="169" fontId="0" fillId="0" borderId="1" pivotButton="0" quotePrefix="0" xfId="0"/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monthly cost (USD)</a:t>
            </a:r>
          </a:p>
        </rich>
      </tx>
    </title>
    <plotArea>
      <lineChart>
        <grouping val="standard"/>
        <ser>
          <idx val="0"/>
          <order val="0"/>
          <tx>
            <v>WhatsApp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cost'!$A$6:$A$14</f>
            </numRef>
          </cat>
          <val>
            <numRef>
              <f>'Monthly cost'!$J$6:$J$14</f>
            </numRef>
          </val>
        </ser>
        <ser>
          <idx val="1"/>
          <order val="1"/>
          <tx>
            <v>Instagram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cost'!$A$6:$A$14</f>
            </numRef>
          </cat>
          <val>
            <numRef>
              <f>'Monthly cost'!$J$19:$J$27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New enquiries / 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/ month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EduNXT</author>
  </authors>
  <commentList>
    <comment ref="A4" authorId="0" shapeId="0">
      <text>
        <t>Header values (row 4) are editable scenarios.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90" customWidth="1" min="4" max="4"/>
  </cols>
  <sheetData>
    <row r="1">
      <c r="A1" s="1" t="inlineStr">
        <is>
          <t>EduNXT agent: cost model inputs</t>
        </is>
      </c>
    </row>
    <row r="2">
      <c r="A2" s="2" t="inlineStr">
        <is>
          <t>Blue = editable input · Yellow = assumption to confirm or value still to fill · Black = formula. All money in USD.</t>
        </is>
      </c>
    </row>
    <row r="3">
      <c r="A3" s="3" t="inlineStr">
        <is>
          <t>AI costs: averages of 1 drafts / 1 revisions / 2 intake messages from out/benchmark/results.csv</t>
        </is>
      </c>
    </row>
    <row r="5">
      <c r="A5" s="4" t="inlineStr">
        <is>
          <t>AI cost per step (Claude API; measured by `python -m edunxt benchmark`)</t>
        </is>
      </c>
      <c r="B5" s="5" t="n"/>
      <c r="C5" s="5" t="n"/>
      <c r="D5" s="5" t="n"/>
    </row>
    <row r="6">
      <c r="A6" s="6" t="inlineStr">
        <is>
          <t>AI cost per client message analysed (Intake Agent, Haiku)</t>
        </is>
      </c>
      <c r="B6" s="7" t="n">
        <v>0.0027</v>
      </c>
      <c r="C6" s="6" t="inlineStr">
        <is>
          <t>USD</t>
        </is>
      </c>
      <c r="D6" s="8" t="inlineStr">
        <is>
          <t>Avg of successful benchmark runs (results.csv)</t>
        </is>
      </c>
    </row>
    <row r="7">
      <c r="A7" s="6" t="inlineStr">
        <is>
          <t>AI cost per draft (Research Agent, Opus + web search)</t>
        </is>
      </c>
      <c r="B7" s="7" t="n">
        <v>4.6774</v>
      </c>
      <c r="C7" s="6" t="inlineStr">
        <is>
          <t>USD</t>
        </is>
      </c>
      <c r="D7" s="8" t="inlineStr">
        <is>
          <t>Avg of successful benchmark runs (results.csv)</t>
        </is>
      </c>
    </row>
    <row r="8">
      <c r="A8" s="6" t="inlineStr">
        <is>
          <t>AI cost per founder revision</t>
        </is>
      </c>
      <c r="B8" s="7" t="n">
        <v>0.5838</v>
      </c>
      <c r="C8" s="6" t="inlineStr">
        <is>
          <t>USD</t>
        </is>
      </c>
      <c r="D8" s="8" t="inlineStr">
        <is>
          <t>Avg of successful benchmark runs (results.csv)</t>
        </is>
      </c>
    </row>
    <row r="10">
      <c r="A10" s="4" t="inlineStr">
        <is>
          <t>Workflow per enquiry</t>
        </is>
      </c>
      <c r="B10" s="5" t="n"/>
      <c r="C10" s="5" t="n"/>
      <c r="D10" s="5" t="n"/>
    </row>
    <row r="11">
      <c r="A11" s="6" t="inlineStr">
        <is>
          <t>Client messages analysed per enquiry</t>
        </is>
      </c>
      <c r="B11" s="9" t="n">
        <v>2</v>
      </c>
      <c r="C11" s="6" t="inlineStr">
        <is>
          <t>messages</t>
        </is>
      </c>
      <c r="D11" s="8" t="inlineStr">
        <is>
          <t>Benchmark cases use 2 (first enquiry + profile). Every later client message is also analysed.</t>
        </is>
      </c>
    </row>
    <row r="12">
      <c r="A12" s="6" t="inlineStr">
        <is>
          <t>Share of enquiries that reach a draft</t>
        </is>
      </c>
      <c r="B12" s="10" t="n">
        <v>1</v>
      </c>
      <c r="C12" s="6" t="inlineStr"/>
      <c r="D12" s="8" t="inlineStr">
        <is>
          <t>100% = conservative upper bound (every enquirer completes the profile).</t>
        </is>
      </c>
    </row>
    <row r="13">
      <c r="A13" s="6" t="inlineStr">
        <is>
          <t>Founder revisions per draft</t>
        </is>
      </c>
      <c r="B13" s="11" t="n">
        <v>1</v>
      </c>
      <c r="C13" s="6" t="inlineStr">
        <is>
          <t>revisions</t>
        </is>
      </c>
      <c r="D13" s="8" t="inlineStr">
        <is>
          <t>Benchmark measures 1 revision per case.</t>
        </is>
      </c>
    </row>
    <row r="14">
      <c r="A14" s="6" t="inlineStr">
        <is>
          <t>Share of drafts sent while the founder's 24h window is closed</t>
        </is>
      </c>
      <c r="B14" s="10" t="n">
        <v>0.5</v>
      </c>
      <c r="C14" s="6" t="inlineStr"/>
      <c r="D14" s="8" t="inlineStr">
        <is>
          <t>Then the agent sends the `new_case_ready` utility template first.</t>
        </is>
      </c>
    </row>
    <row r="15">
      <c r="A15" s="6" t="inlineStr">
        <is>
          <t>Templates per such draft</t>
        </is>
      </c>
      <c r="B15" s="9" t="n">
        <v>1</v>
      </c>
      <c r="C15" s="6" t="inlineStr">
        <is>
          <t>templates</t>
        </is>
      </c>
      <c r="D15" s="8" t="inlineStr">
        <is>
          <t>edunxt/workflow.py `_hold`</t>
        </is>
      </c>
    </row>
    <row r="16">
      <c r="A16" s="6" t="inlineStr">
        <is>
          <t>AI cost per client (derived)</t>
        </is>
      </c>
      <c r="B16" s="12">
        <f>IF(COUNT(B6:B8)&lt;3,"not measured",$B$11*B6+B7+$B$13*B8)</f>
        <v/>
      </c>
      <c r="C16" s="6" t="inlineStr">
        <is>
          <t>USD</t>
        </is>
      </c>
      <c r="D16" s="8" t="inlineStr">
        <is>
          <t>intake x messages + draft + revisions x revision</t>
        </is>
      </c>
    </row>
    <row r="18">
      <c r="A18" s="4" t="inlineStr">
        <is>
          <t>WhatsApp messages the agent sends (counted from edunxt/workflow.py)</t>
        </is>
      </c>
      <c r="B18" s="5" t="n"/>
      <c r="C18" s="5" t="n"/>
      <c r="D18" s="5" t="n"/>
    </row>
    <row r="19">
      <c r="A19" s="6" t="inlineStr">
        <is>
          <t>Welcome + questionnaire to the client</t>
        </is>
      </c>
      <c r="B19" s="9" t="n">
        <v>1</v>
      </c>
      <c r="C19" s="6" t="inlineStr">
        <is>
          <t>per enquiry</t>
        </is>
      </c>
      <c r="D19" s="8" t="inlineStr">
        <is>
          <t>The only message the agent ever sends a client. On Instagram it goes out over Instagram instead.</t>
        </is>
      </c>
    </row>
    <row r="20">
      <c r="A20" s="6" t="inlineStr">
        <is>
          <t>Founder notification per client message</t>
        </is>
      </c>
      <c r="B20" s="9" t="n">
        <v>1</v>
      </c>
      <c r="C20" s="6" t="inlineStr">
        <is>
          <t>per message</t>
        </is>
      </c>
      <c r="D20" s="8" t="inlineStr">
        <is>
          <t>New-enquiry / forwarded-message notes</t>
        </is>
      </c>
    </row>
    <row r="21">
      <c r="A21" s="6" t="inlineStr">
        <is>
          <t>Founder messages per draft</t>
        </is>
      </c>
      <c r="B21" s="9" t="n">
        <v>3</v>
      </c>
      <c r="C21" s="6" t="inlineStr">
        <is>
          <t>per draft</t>
        </is>
      </c>
      <c r="D21" s="8" t="inlineStr">
        <is>
          <t>Summary text + University options PDF + Scholarships PDF</t>
        </is>
      </c>
    </row>
    <row r="22">
      <c r="A22" s="6" t="inlineStr">
        <is>
          <t>Founder messages per revision</t>
        </is>
      </c>
      <c r="B22" s="9" t="n">
        <v>3</v>
      </c>
      <c r="C22" s="6" t="inlineStr">
        <is>
          <t>per revision</t>
        </is>
      </c>
      <c r="D22" s="8" t="inlineStr">
        <is>
          <t>Same three items, new version</t>
        </is>
      </c>
    </row>
    <row r="23">
      <c r="A23" s="6" t="inlineStr">
        <is>
          <t>Other founder replies per drafted case</t>
        </is>
      </c>
      <c r="B23" s="9" t="n">
        <v>1</v>
      </c>
      <c r="C23" s="6" t="inlineStr">
        <is>
          <t>per draft</t>
        </is>
      </c>
      <c r="D23" s="8" t="inlineStr">
        <is>
          <t>e.g. the `approve` confirmation</t>
        </is>
      </c>
    </row>
    <row r="25">
      <c r="A25" s="4" t="inlineStr">
        <is>
          <t>Meta pricing, Egypt (USD per delivered message)</t>
        </is>
      </c>
      <c r="B25" s="5" t="n"/>
      <c r="C25" s="5" t="n"/>
      <c r="D25" s="5" t="n"/>
    </row>
    <row r="26">
      <c r="A26" s="6" t="inlineStr">
        <is>
          <t>Service message (reply inside the 24h window)</t>
        </is>
      </c>
      <c r="B26" s="7" t="n">
        <v>0.0036</v>
      </c>
      <c r="C26" s="6" t="inlineStr">
        <is>
          <t>USD</t>
        </is>
      </c>
      <c r="D26" s="8" t="inlineStr">
        <is>
          <t>Meta WhatsApp Business Platform rate card, Egypt, USD, per delivered message (marketing $0.0644 from 1 Jan 2026; utility/authentication $0.0036, July 2026 card). From 1 Oct 2026 service messages are billed at the utility rate after 1,000 free per business phone number per month, and utility templates inside the 24h window are billable. developers.facebook.com/docs/whatsapp/pricing. Checked 3 Oct 2026 via secondary sources; confirm in WhatsApp Manager.</t>
        </is>
      </c>
    </row>
    <row r="27">
      <c r="A27" s="6" t="inlineStr">
        <is>
          <t>Utility template (founder `new_case_ready`)</t>
        </is>
      </c>
      <c r="B27" s="7" t="n">
        <v>0.0036</v>
      </c>
      <c r="C27" s="6" t="inlineStr">
        <is>
          <t>USD</t>
        </is>
      </c>
      <c r="D27" s="8" t="inlineStr">
        <is>
          <t>Volume tiers can lower this by up to 25%; ignored here.</t>
        </is>
      </c>
    </row>
    <row r="28">
      <c r="A28" s="6" t="inlineStr">
        <is>
          <t>Free service messages per number per month</t>
        </is>
      </c>
      <c r="B28" s="9" t="n">
        <v>1000</v>
      </c>
      <c r="C28" s="6" t="inlineStr">
        <is>
          <t>messages</t>
        </is>
      </c>
      <c r="D28" s="8" t="inlineStr">
        <is>
          <t>From 1 Oct 2026; resets monthly, no rollover.</t>
        </is>
      </c>
    </row>
    <row r="29">
      <c r="A29" s="6" t="inlineStr">
        <is>
          <t>VAT added to Meta's invoice</t>
        </is>
      </c>
      <c r="B29" s="10" t="n">
        <v>0.14</v>
      </c>
      <c r="C29" s="6" t="inlineStr"/>
      <c r="D29" s="8" t="inlineStr">
        <is>
          <t>Egyptian VAT 14%. Set 0% if it doesn't apply to your billing entity.</t>
        </is>
      </c>
    </row>
    <row r="30">
      <c r="A30" s="6" t="inlineStr">
        <is>
          <t>Instagram message fee</t>
        </is>
      </c>
      <c r="B30" s="7" t="n">
        <v>0</v>
      </c>
      <c r="C30" s="6" t="inlineStr">
        <is>
          <t>USD</t>
        </is>
      </c>
      <c r="D30" s="8" t="inlineStr">
        <is>
          <t>Instagram Messaging API (Graph API): no per-message fee. Replies only within 24h of the user's last message; the HUMAN_AGENT tag (7 days) needs its own App Review and may not be used for automated messages.</t>
        </is>
      </c>
    </row>
    <row r="31">
      <c r="A31" s="6" t="inlineStr">
        <is>
          <t>Marketing template (reference only; the agent sends none)</t>
        </is>
      </c>
      <c r="B31" s="7" t="n">
        <v>0.0644</v>
      </c>
      <c r="C31" s="6" t="inlineStr">
        <is>
          <t>USD</t>
        </is>
      </c>
      <c r="D31" s="8" t="inlineStr">
        <is>
          <t>Not used in the model.</t>
        </is>
      </c>
    </row>
    <row r="33">
      <c r="A33" s="4" t="inlineStr">
        <is>
          <t>Fixed monthly costs</t>
        </is>
      </c>
      <c r="B33" s="5" t="n"/>
      <c r="C33" s="5" t="n"/>
      <c r="D33" s="5" t="n"/>
    </row>
    <row r="34">
      <c r="A34" s="6" t="inlineStr">
        <is>
          <t>Hosting</t>
        </is>
      </c>
      <c r="B34" s="13" t="n">
        <v>0</v>
      </c>
      <c r="C34" s="6" t="inlineStr">
        <is>
          <t>USD / month</t>
        </is>
      </c>
      <c r="D34" s="8" t="inlineStr">
        <is>
          <t>PoC runs on a laptop ($0). A small cloud VM is roughly $5-20/month.</t>
        </is>
      </c>
    </row>
    <row r="35">
      <c r="A35" s="6" t="inlineStr">
        <is>
          <t>WhatsApp Cloud API number / access</t>
        </is>
      </c>
      <c r="B35" s="14" t="n">
        <v>0</v>
      </c>
      <c r="C35" s="6" t="inlineStr">
        <is>
          <t>USD / month</t>
        </is>
      </c>
      <c r="D35" s="8" t="inlineStr">
        <is>
          <t>No platform fee from Meta for Cloud API.</t>
        </is>
      </c>
    </row>
    <row r="37">
      <c r="A37" s="4" t="inlineStr">
        <is>
          <t>EduNXT business figures</t>
        </is>
      </c>
      <c r="B37" s="5" t="n"/>
      <c r="C37" s="5" t="n"/>
      <c r="D37" s="5" t="n"/>
    </row>
    <row r="38">
      <c r="A38" s="6" t="inlineStr">
        <is>
          <t>Enquiry to enrolment rate</t>
        </is>
      </c>
      <c r="B38" s="15" t="n">
        <v>0.3</v>
      </c>
      <c r="C38" s="6" t="inlineStr"/>
      <c r="D38" s="8" t="inlineStr">
        <is>
          <t>From EduNXT</t>
        </is>
      </c>
    </row>
    <row r="39">
      <c r="A39" s="6" t="inlineStr">
        <is>
          <t>Commission per student (share of annual university fees)</t>
        </is>
      </c>
      <c r="B39" s="15" t="n">
        <v>0.1</v>
      </c>
      <c r="C39" s="6" t="inlineStr"/>
      <c r="D39" s="8" t="inlineStr">
        <is>
          <t>From EduNXT</t>
        </is>
      </c>
    </row>
    <row r="40">
      <c r="A40" s="6" t="inlineStr">
        <is>
          <t>Average annual university fees</t>
        </is>
      </c>
      <c r="B40" s="13" t="n">
        <v>10000</v>
      </c>
      <c r="C40" s="6" t="inlineStr">
        <is>
          <t>USD / year</t>
        </is>
      </c>
      <c r="D40" s="8" t="inlineStr">
        <is>
          <t>ASSUMPTION for illustration; replace with EduNXT's average.</t>
        </is>
      </c>
    </row>
    <row r="41">
      <c r="A41" s="6" t="inlineStr">
        <is>
          <t>Founder time to build one list today</t>
        </is>
      </c>
      <c r="B41" s="16" t="n">
        <v>1.5</v>
      </c>
      <c r="C41" s="6" t="inlineStr">
        <is>
          <t>hours</t>
        </is>
      </c>
      <c r="D41" s="8" t="inlineStr">
        <is>
          <t>From EduNXT: 1-2 hours (midpoint)</t>
        </is>
      </c>
    </row>
    <row r="42">
      <c r="A42" s="6" t="inlineStr">
        <is>
          <t>Founder time to review an agent draft</t>
        </is>
      </c>
      <c r="B42" s="11" t="n">
        <v>0.25</v>
      </c>
      <c r="C42" s="6" t="inlineStr">
        <is>
          <t>hours</t>
        </is>
      </c>
      <c r="D42" s="8" t="inlineStr">
        <is>
          <t>ASSUMPTION: 15 minutes to read, tweak and approve.</t>
        </is>
      </c>
    </row>
    <row r="43">
      <c r="A43" s="6" t="inlineStr">
        <is>
          <t>Current enquiries per month</t>
        </is>
      </c>
      <c r="B43" s="9" t="n">
        <v>15</v>
      </c>
      <c r="C43" s="6" t="inlineStr">
        <is>
          <t>enquiries</t>
        </is>
      </c>
      <c r="D43" s="8" t="inlineStr">
        <is>
          <t>From EduNXT (WhatsApp + Instagram)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3" customWidth="1" min="4" max="4"/>
    <col width="12" customWidth="1" min="5" max="5"/>
    <col width="11" customWidth="1" min="6" max="6"/>
    <col width="13" customWidth="1" min="7" max="7"/>
    <col width="13" customWidth="1" min="8" max="8"/>
    <col width="11" customWidth="1" min="9" max="9"/>
    <col width="15" customWidth="1" min="10" max="10"/>
    <col width="13" customWidth="1" min="11" max="11"/>
    <col width="15" customWidth="1" min="12" max="12"/>
  </cols>
  <sheetData>
    <row r="1">
      <c r="A1" s="1" t="inlineStr">
        <is>
          <t>Monthly running cost by number of new enquiries</t>
        </is>
      </c>
    </row>
    <row r="2">
      <c r="A2" s="17">
        <f>IF(COUNT(Inputs!B6:B8)&lt;3,"AI cost not yet measured: AI columns show $0 until Inputs!B6:B8 are filled from the benchmark.","AI cost per client: "&amp;TEXT(Inputs!$B$16,"$0.00"))</f>
        <v/>
      </c>
    </row>
    <row r="4">
      <c r="A4" s="18" t="inlineStr">
        <is>
          <t>WhatsApp: client enquires on WhatsApp; agent replies on WhatsApp; founders review on WhatsApp</t>
        </is>
      </c>
    </row>
    <row r="5" ht="32" customHeight="1">
      <c r="A5" s="19" t="inlineStr">
        <is>
          <t>Enquiries / month</t>
        </is>
      </c>
      <c r="B5" s="19" t="inlineStr">
        <is>
          <t>Drafts</t>
        </is>
      </c>
      <c r="C5" s="19" t="inlineStr">
        <is>
          <t>Client msgs analysed</t>
        </is>
      </c>
      <c r="D5" s="19" t="inlineStr">
        <is>
          <t>WhatsApp service msgs</t>
        </is>
      </c>
      <c r="E5" s="19" t="inlineStr">
        <is>
          <t>Billable service msgs</t>
        </is>
      </c>
      <c r="F5" s="19" t="inlineStr">
        <is>
          <t>Utility templates</t>
        </is>
      </c>
      <c r="G5" s="19" t="inlineStr">
        <is>
          <t>Meta fees (USD)</t>
        </is>
      </c>
      <c r="H5" s="19" t="inlineStr">
        <is>
          <t>AI cost (USD)</t>
        </is>
      </c>
      <c r="I5" s="19" t="inlineStr">
        <is>
          <t>Fixed (USD)</t>
        </is>
      </c>
      <c r="J5" s="19" t="inlineStr">
        <is>
          <t>Total / month (USD)</t>
        </is>
      </c>
      <c r="K5" s="19" t="inlineStr">
        <is>
          <t>Per enquiry (USD)</t>
        </is>
      </c>
      <c r="L5" s="19" t="inlineStr">
        <is>
          <t>Per enrolled student (USD)</t>
        </is>
      </c>
    </row>
    <row r="6">
      <c r="A6" s="9" t="n">
        <v>25</v>
      </c>
      <c r="B6" s="20">
        <f>A6*Inputs!$B$12</f>
        <v/>
      </c>
      <c r="C6" s="20">
        <f>A6*Inputs!$B$11</f>
        <v/>
      </c>
      <c r="D6" s="20">
        <f>A6*Inputs!$B$19+C6*Inputs!$B$20+B6*(Inputs!$B$21+Inputs!$B$13*Inputs!$B$22+Inputs!$B$23)</f>
        <v/>
      </c>
      <c r="E6" s="20">
        <f>MAX(0,D6-Inputs!$B$28)</f>
        <v/>
      </c>
      <c r="F6" s="20">
        <f>B6*Inputs!$B$14*Inputs!$B$15</f>
        <v/>
      </c>
      <c r="G6" s="12">
        <f>(E6*Inputs!$B$26+F6*Inputs!$B$27)*(1+Inputs!$B$29)+0</f>
        <v/>
      </c>
      <c r="H6" s="12">
        <f>C6*N(Inputs!$B$6)+B6*(N(Inputs!$B$7)+Inputs!$B$13*N(Inputs!$B$8))</f>
        <v/>
      </c>
      <c r="I6" s="12">
        <f>Inputs!$B$34+Inputs!$B$35</f>
        <v/>
      </c>
      <c r="J6" s="12">
        <f>G6+H6+I6</f>
        <v/>
      </c>
      <c r="K6" s="12">
        <f>IF(A6&gt;0,J6/A6,0)</f>
        <v/>
      </c>
      <c r="L6" s="12">
        <f>IF(A6*Inputs!$B$38&gt;0,J6/(A6*Inputs!$B$38),0)</f>
        <v/>
      </c>
    </row>
    <row r="7">
      <c r="A7" s="9" t="n">
        <v>50</v>
      </c>
      <c r="B7" s="20">
        <f>A7*Inputs!$B$12</f>
        <v/>
      </c>
      <c r="C7" s="20">
        <f>A7*Inputs!$B$11</f>
        <v/>
      </c>
      <c r="D7" s="20">
        <f>A7*Inputs!$B$19+C7*Inputs!$B$20+B7*(Inputs!$B$21+Inputs!$B$13*Inputs!$B$22+Inputs!$B$23)</f>
        <v/>
      </c>
      <c r="E7" s="20">
        <f>MAX(0,D7-Inputs!$B$28)</f>
        <v/>
      </c>
      <c r="F7" s="20">
        <f>B7*Inputs!$B$14*Inputs!$B$15</f>
        <v/>
      </c>
      <c r="G7" s="12">
        <f>(E7*Inputs!$B$26+F7*Inputs!$B$27)*(1+Inputs!$B$29)+0</f>
        <v/>
      </c>
      <c r="H7" s="12">
        <f>C7*N(Inputs!$B$6)+B7*(N(Inputs!$B$7)+Inputs!$B$13*N(Inputs!$B$8))</f>
        <v/>
      </c>
      <c r="I7" s="12">
        <f>Inputs!$B$34+Inputs!$B$35</f>
        <v/>
      </c>
      <c r="J7" s="12">
        <f>G7+H7+I7</f>
        <v/>
      </c>
      <c r="K7" s="12">
        <f>IF(A7&gt;0,J7/A7,0)</f>
        <v/>
      </c>
      <c r="L7" s="12">
        <f>IF(A7*Inputs!$B$38&gt;0,J7/(A7*Inputs!$B$38),0)</f>
        <v/>
      </c>
    </row>
    <row r="8">
      <c r="A8" s="9" t="n">
        <v>100</v>
      </c>
      <c r="B8" s="20">
        <f>A8*Inputs!$B$12</f>
        <v/>
      </c>
      <c r="C8" s="20">
        <f>A8*Inputs!$B$11</f>
        <v/>
      </c>
      <c r="D8" s="20">
        <f>A8*Inputs!$B$19+C8*Inputs!$B$20+B8*(Inputs!$B$21+Inputs!$B$13*Inputs!$B$22+Inputs!$B$23)</f>
        <v/>
      </c>
      <c r="E8" s="20">
        <f>MAX(0,D8-Inputs!$B$28)</f>
        <v/>
      </c>
      <c r="F8" s="20">
        <f>B8*Inputs!$B$14*Inputs!$B$15</f>
        <v/>
      </c>
      <c r="G8" s="12">
        <f>(E8*Inputs!$B$26+F8*Inputs!$B$27)*(1+Inputs!$B$29)+0</f>
        <v/>
      </c>
      <c r="H8" s="12">
        <f>C8*N(Inputs!$B$6)+B8*(N(Inputs!$B$7)+Inputs!$B$13*N(Inputs!$B$8))</f>
        <v/>
      </c>
      <c r="I8" s="12">
        <f>Inputs!$B$34+Inputs!$B$35</f>
        <v/>
      </c>
      <c r="J8" s="12">
        <f>G8+H8+I8</f>
        <v/>
      </c>
      <c r="K8" s="12">
        <f>IF(A8&gt;0,J8/A8,0)</f>
        <v/>
      </c>
      <c r="L8" s="12">
        <f>IF(A8*Inputs!$B$38&gt;0,J8/(A8*Inputs!$B$38),0)</f>
        <v/>
      </c>
    </row>
    <row r="9">
      <c r="A9" s="9" t="n">
        <v>150</v>
      </c>
      <c r="B9" s="20">
        <f>A9*Inputs!$B$12</f>
        <v/>
      </c>
      <c r="C9" s="20">
        <f>A9*Inputs!$B$11</f>
        <v/>
      </c>
      <c r="D9" s="20">
        <f>A9*Inputs!$B$19+C9*Inputs!$B$20+B9*(Inputs!$B$21+Inputs!$B$13*Inputs!$B$22+Inputs!$B$23)</f>
        <v/>
      </c>
      <c r="E9" s="20">
        <f>MAX(0,D9-Inputs!$B$28)</f>
        <v/>
      </c>
      <c r="F9" s="20">
        <f>B9*Inputs!$B$14*Inputs!$B$15</f>
        <v/>
      </c>
      <c r="G9" s="12">
        <f>(E9*Inputs!$B$26+F9*Inputs!$B$27)*(1+Inputs!$B$29)+0</f>
        <v/>
      </c>
      <c r="H9" s="12">
        <f>C9*N(Inputs!$B$6)+B9*(N(Inputs!$B$7)+Inputs!$B$13*N(Inputs!$B$8))</f>
        <v/>
      </c>
      <c r="I9" s="12">
        <f>Inputs!$B$34+Inputs!$B$35</f>
        <v/>
      </c>
      <c r="J9" s="12">
        <f>G9+H9+I9</f>
        <v/>
      </c>
      <c r="K9" s="12">
        <f>IF(A9&gt;0,J9/A9,0)</f>
        <v/>
      </c>
      <c r="L9" s="12">
        <f>IF(A9*Inputs!$B$38&gt;0,J9/(A9*Inputs!$B$38),0)</f>
        <v/>
      </c>
    </row>
    <row r="10">
      <c r="A10" s="9" t="n">
        <v>200</v>
      </c>
      <c r="B10" s="20">
        <f>A10*Inputs!$B$12</f>
        <v/>
      </c>
      <c r="C10" s="20">
        <f>A10*Inputs!$B$11</f>
        <v/>
      </c>
      <c r="D10" s="20">
        <f>A10*Inputs!$B$19+C10*Inputs!$B$20+B10*(Inputs!$B$21+Inputs!$B$13*Inputs!$B$22+Inputs!$B$23)</f>
        <v/>
      </c>
      <c r="E10" s="20">
        <f>MAX(0,D10-Inputs!$B$28)</f>
        <v/>
      </c>
      <c r="F10" s="20">
        <f>B10*Inputs!$B$14*Inputs!$B$15</f>
        <v/>
      </c>
      <c r="G10" s="12">
        <f>(E10*Inputs!$B$26+F10*Inputs!$B$27)*(1+Inputs!$B$29)+0</f>
        <v/>
      </c>
      <c r="H10" s="12">
        <f>C10*N(Inputs!$B$6)+B10*(N(Inputs!$B$7)+Inputs!$B$13*N(Inputs!$B$8))</f>
        <v/>
      </c>
      <c r="I10" s="12">
        <f>Inputs!$B$34+Inputs!$B$35</f>
        <v/>
      </c>
      <c r="J10" s="12">
        <f>G10+H10+I10</f>
        <v/>
      </c>
      <c r="K10" s="12">
        <f>IF(A10&gt;0,J10/A10,0)</f>
        <v/>
      </c>
      <c r="L10" s="12">
        <f>IF(A10*Inputs!$B$38&gt;0,J10/(A10*Inputs!$B$38),0)</f>
        <v/>
      </c>
    </row>
    <row r="11">
      <c r="A11" s="9" t="n">
        <v>250</v>
      </c>
      <c r="B11" s="20">
        <f>A11*Inputs!$B$12</f>
        <v/>
      </c>
      <c r="C11" s="20">
        <f>A11*Inputs!$B$11</f>
        <v/>
      </c>
      <c r="D11" s="20">
        <f>A11*Inputs!$B$19+C11*Inputs!$B$20+B11*(Inputs!$B$21+Inputs!$B$13*Inputs!$B$22+Inputs!$B$23)</f>
        <v/>
      </c>
      <c r="E11" s="20">
        <f>MAX(0,D11-Inputs!$B$28)</f>
        <v/>
      </c>
      <c r="F11" s="20">
        <f>B11*Inputs!$B$14*Inputs!$B$15</f>
        <v/>
      </c>
      <c r="G11" s="12">
        <f>(E11*Inputs!$B$26+F11*Inputs!$B$27)*(1+Inputs!$B$29)+0</f>
        <v/>
      </c>
      <c r="H11" s="12">
        <f>C11*N(Inputs!$B$6)+B11*(N(Inputs!$B$7)+Inputs!$B$13*N(Inputs!$B$8))</f>
        <v/>
      </c>
      <c r="I11" s="12">
        <f>Inputs!$B$34+Inputs!$B$35</f>
        <v/>
      </c>
      <c r="J11" s="12">
        <f>G11+H11+I11</f>
        <v/>
      </c>
      <c r="K11" s="12">
        <f>IF(A11&gt;0,J11/A11,0)</f>
        <v/>
      </c>
      <c r="L11" s="12">
        <f>IF(A11*Inputs!$B$38&gt;0,J11/(A11*Inputs!$B$38),0)</f>
        <v/>
      </c>
    </row>
    <row r="12">
      <c r="A12" s="9" t="n">
        <v>300</v>
      </c>
      <c r="B12" s="20">
        <f>A12*Inputs!$B$12</f>
        <v/>
      </c>
      <c r="C12" s="20">
        <f>A12*Inputs!$B$11</f>
        <v/>
      </c>
      <c r="D12" s="20">
        <f>A12*Inputs!$B$19+C12*Inputs!$B$20+B12*(Inputs!$B$21+Inputs!$B$13*Inputs!$B$22+Inputs!$B$23)</f>
        <v/>
      </c>
      <c r="E12" s="20">
        <f>MAX(0,D12-Inputs!$B$28)</f>
        <v/>
      </c>
      <c r="F12" s="20">
        <f>B12*Inputs!$B$14*Inputs!$B$15</f>
        <v/>
      </c>
      <c r="G12" s="12">
        <f>(E12*Inputs!$B$26+F12*Inputs!$B$27)*(1+Inputs!$B$29)+0</f>
        <v/>
      </c>
      <c r="H12" s="12">
        <f>C12*N(Inputs!$B$6)+B12*(N(Inputs!$B$7)+Inputs!$B$13*N(Inputs!$B$8))</f>
        <v/>
      </c>
      <c r="I12" s="12">
        <f>Inputs!$B$34+Inputs!$B$35</f>
        <v/>
      </c>
      <c r="J12" s="12">
        <f>G12+H12+I12</f>
        <v/>
      </c>
      <c r="K12" s="12">
        <f>IF(A12&gt;0,J12/A12,0)</f>
        <v/>
      </c>
      <c r="L12" s="12">
        <f>IF(A12*Inputs!$B$38&gt;0,J12/(A12*Inputs!$B$38),0)</f>
        <v/>
      </c>
    </row>
    <row r="13">
      <c r="A13" s="9" t="n">
        <v>400</v>
      </c>
      <c r="B13" s="20">
        <f>A13*Inputs!$B$12</f>
        <v/>
      </c>
      <c r="C13" s="20">
        <f>A13*Inputs!$B$11</f>
        <v/>
      </c>
      <c r="D13" s="20">
        <f>A13*Inputs!$B$19+C13*Inputs!$B$20+B13*(Inputs!$B$21+Inputs!$B$13*Inputs!$B$22+Inputs!$B$23)</f>
        <v/>
      </c>
      <c r="E13" s="20">
        <f>MAX(0,D13-Inputs!$B$28)</f>
        <v/>
      </c>
      <c r="F13" s="20">
        <f>B13*Inputs!$B$14*Inputs!$B$15</f>
        <v/>
      </c>
      <c r="G13" s="12">
        <f>(E13*Inputs!$B$26+F13*Inputs!$B$27)*(1+Inputs!$B$29)+0</f>
        <v/>
      </c>
      <c r="H13" s="12">
        <f>C13*N(Inputs!$B$6)+B13*(N(Inputs!$B$7)+Inputs!$B$13*N(Inputs!$B$8))</f>
        <v/>
      </c>
      <c r="I13" s="12">
        <f>Inputs!$B$34+Inputs!$B$35</f>
        <v/>
      </c>
      <c r="J13" s="12">
        <f>G13+H13+I13</f>
        <v/>
      </c>
      <c r="K13" s="12">
        <f>IF(A13&gt;0,J13/A13,0)</f>
        <v/>
      </c>
      <c r="L13" s="12">
        <f>IF(A13*Inputs!$B$38&gt;0,J13/(A13*Inputs!$B$38),0)</f>
        <v/>
      </c>
    </row>
    <row r="14">
      <c r="A14" s="9" t="n">
        <v>500</v>
      </c>
      <c r="B14" s="20">
        <f>A14*Inputs!$B$12</f>
        <v/>
      </c>
      <c r="C14" s="20">
        <f>A14*Inputs!$B$11</f>
        <v/>
      </c>
      <c r="D14" s="20">
        <f>A14*Inputs!$B$19+C14*Inputs!$B$20+B14*(Inputs!$B$21+Inputs!$B$13*Inputs!$B$22+Inputs!$B$23)</f>
        <v/>
      </c>
      <c r="E14" s="20">
        <f>MAX(0,D14-Inputs!$B$28)</f>
        <v/>
      </c>
      <c r="F14" s="20">
        <f>B14*Inputs!$B$14*Inputs!$B$15</f>
        <v/>
      </c>
      <c r="G14" s="12">
        <f>(E14*Inputs!$B$26+F14*Inputs!$B$27)*(1+Inputs!$B$29)+0</f>
        <v/>
      </c>
      <c r="H14" s="12">
        <f>C14*N(Inputs!$B$6)+B14*(N(Inputs!$B$7)+Inputs!$B$13*N(Inputs!$B$8))</f>
        <v/>
      </c>
      <c r="I14" s="12">
        <f>Inputs!$B$34+Inputs!$B$35</f>
        <v/>
      </c>
      <c r="J14" s="12">
        <f>G14+H14+I14</f>
        <v/>
      </c>
      <c r="K14" s="12">
        <f>IF(A14&gt;0,J14/A14,0)</f>
        <v/>
      </c>
      <c r="L14" s="12">
        <f>IF(A14*Inputs!$B$38&gt;0,J14/(A14*Inputs!$B$38),0)</f>
        <v/>
      </c>
    </row>
    <row r="17">
      <c r="A17" s="18" t="inlineStr">
        <is>
          <t>Instagram: client enquires by Instagram DM; welcome sent over the Instagram Messaging API (free); founders still review on WhatsApp</t>
        </is>
      </c>
    </row>
    <row r="18" ht="32" customHeight="1">
      <c r="A18" s="19" t="inlineStr">
        <is>
          <t>Enquiries / month</t>
        </is>
      </c>
      <c r="B18" s="19" t="inlineStr">
        <is>
          <t>Drafts</t>
        </is>
      </c>
      <c r="C18" s="19" t="inlineStr">
        <is>
          <t>Client msgs analysed</t>
        </is>
      </c>
      <c r="D18" s="19" t="inlineStr">
        <is>
          <t>WhatsApp service msgs</t>
        </is>
      </c>
      <c r="E18" s="19" t="inlineStr">
        <is>
          <t>Billable service msgs</t>
        </is>
      </c>
      <c r="F18" s="19" t="inlineStr">
        <is>
          <t>Utility templates</t>
        </is>
      </c>
      <c r="G18" s="19" t="inlineStr">
        <is>
          <t>Meta fees (USD)</t>
        </is>
      </c>
      <c r="H18" s="19" t="inlineStr">
        <is>
          <t>AI cost (USD)</t>
        </is>
      </c>
      <c r="I18" s="19" t="inlineStr">
        <is>
          <t>Fixed (USD)</t>
        </is>
      </c>
      <c r="J18" s="19" t="inlineStr">
        <is>
          <t>Total / month (USD)</t>
        </is>
      </c>
      <c r="K18" s="19" t="inlineStr">
        <is>
          <t>Per enquiry (USD)</t>
        </is>
      </c>
      <c r="L18" s="19" t="inlineStr">
        <is>
          <t>Per enrolled student (USD)</t>
        </is>
      </c>
    </row>
    <row r="19">
      <c r="A19" s="9" t="n">
        <v>25</v>
      </c>
      <c r="B19" s="20">
        <f>A19*Inputs!$B$12</f>
        <v/>
      </c>
      <c r="C19" s="20">
        <f>A19*Inputs!$B$11</f>
        <v/>
      </c>
      <c r="D19" s="20">
        <f>0+C19*Inputs!$B$20+B19*(Inputs!$B$21+Inputs!$B$13*Inputs!$B$22+Inputs!$B$23)</f>
        <v/>
      </c>
      <c r="E19" s="20">
        <f>MAX(0,D19-Inputs!$B$28)</f>
        <v/>
      </c>
      <c r="F19" s="20">
        <f>B19*Inputs!$B$14*Inputs!$B$15</f>
        <v/>
      </c>
      <c r="G19" s="12">
        <f>(E19*Inputs!$B$26+F19*Inputs!$B$27)*(1+Inputs!$B$29)+A19*Inputs!$B$19*Inputs!$B$30</f>
        <v/>
      </c>
      <c r="H19" s="12">
        <f>C19*N(Inputs!$B$6)+B19*(N(Inputs!$B$7)+Inputs!$B$13*N(Inputs!$B$8))</f>
        <v/>
      </c>
      <c r="I19" s="12">
        <f>Inputs!$B$34+Inputs!$B$35</f>
        <v/>
      </c>
      <c r="J19" s="12">
        <f>G19+H19+I19</f>
        <v/>
      </c>
      <c r="K19" s="12">
        <f>IF(A19&gt;0,J19/A19,0)</f>
        <v/>
      </c>
      <c r="L19" s="12">
        <f>IF(A19*Inputs!$B$38&gt;0,J19/(A19*Inputs!$B$38),0)</f>
        <v/>
      </c>
    </row>
    <row r="20">
      <c r="A20" s="9" t="n">
        <v>50</v>
      </c>
      <c r="B20" s="20">
        <f>A20*Inputs!$B$12</f>
        <v/>
      </c>
      <c r="C20" s="20">
        <f>A20*Inputs!$B$11</f>
        <v/>
      </c>
      <c r="D20" s="20">
        <f>0+C20*Inputs!$B$20+B20*(Inputs!$B$21+Inputs!$B$13*Inputs!$B$22+Inputs!$B$23)</f>
        <v/>
      </c>
      <c r="E20" s="20">
        <f>MAX(0,D20-Inputs!$B$28)</f>
        <v/>
      </c>
      <c r="F20" s="20">
        <f>B20*Inputs!$B$14*Inputs!$B$15</f>
        <v/>
      </c>
      <c r="G20" s="12">
        <f>(E20*Inputs!$B$26+F20*Inputs!$B$27)*(1+Inputs!$B$29)+A20*Inputs!$B$19*Inputs!$B$30</f>
        <v/>
      </c>
      <c r="H20" s="12">
        <f>C20*N(Inputs!$B$6)+B20*(N(Inputs!$B$7)+Inputs!$B$13*N(Inputs!$B$8))</f>
        <v/>
      </c>
      <c r="I20" s="12">
        <f>Inputs!$B$34+Inputs!$B$35</f>
        <v/>
      </c>
      <c r="J20" s="12">
        <f>G20+H20+I20</f>
        <v/>
      </c>
      <c r="K20" s="12">
        <f>IF(A20&gt;0,J20/A20,0)</f>
        <v/>
      </c>
      <c r="L20" s="12">
        <f>IF(A20*Inputs!$B$38&gt;0,J20/(A20*Inputs!$B$38),0)</f>
        <v/>
      </c>
    </row>
    <row r="21">
      <c r="A21" s="9" t="n">
        <v>100</v>
      </c>
      <c r="B21" s="20">
        <f>A21*Inputs!$B$12</f>
        <v/>
      </c>
      <c r="C21" s="20">
        <f>A21*Inputs!$B$11</f>
        <v/>
      </c>
      <c r="D21" s="20">
        <f>0+C21*Inputs!$B$20+B21*(Inputs!$B$21+Inputs!$B$13*Inputs!$B$22+Inputs!$B$23)</f>
        <v/>
      </c>
      <c r="E21" s="20">
        <f>MAX(0,D21-Inputs!$B$28)</f>
        <v/>
      </c>
      <c r="F21" s="20">
        <f>B21*Inputs!$B$14*Inputs!$B$15</f>
        <v/>
      </c>
      <c r="G21" s="12">
        <f>(E21*Inputs!$B$26+F21*Inputs!$B$27)*(1+Inputs!$B$29)+A21*Inputs!$B$19*Inputs!$B$30</f>
        <v/>
      </c>
      <c r="H21" s="12">
        <f>C21*N(Inputs!$B$6)+B21*(N(Inputs!$B$7)+Inputs!$B$13*N(Inputs!$B$8))</f>
        <v/>
      </c>
      <c r="I21" s="12">
        <f>Inputs!$B$34+Inputs!$B$35</f>
        <v/>
      </c>
      <c r="J21" s="12">
        <f>G21+H21+I21</f>
        <v/>
      </c>
      <c r="K21" s="12">
        <f>IF(A21&gt;0,J21/A21,0)</f>
        <v/>
      </c>
      <c r="L21" s="12">
        <f>IF(A21*Inputs!$B$38&gt;0,J21/(A21*Inputs!$B$38),0)</f>
        <v/>
      </c>
    </row>
    <row r="22">
      <c r="A22" s="9" t="n">
        <v>150</v>
      </c>
      <c r="B22" s="20">
        <f>A22*Inputs!$B$12</f>
        <v/>
      </c>
      <c r="C22" s="20">
        <f>A22*Inputs!$B$11</f>
        <v/>
      </c>
      <c r="D22" s="20">
        <f>0+C22*Inputs!$B$20+B22*(Inputs!$B$21+Inputs!$B$13*Inputs!$B$22+Inputs!$B$23)</f>
        <v/>
      </c>
      <c r="E22" s="20">
        <f>MAX(0,D22-Inputs!$B$28)</f>
        <v/>
      </c>
      <c r="F22" s="20">
        <f>B22*Inputs!$B$14*Inputs!$B$15</f>
        <v/>
      </c>
      <c r="G22" s="12">
        <f>(E22*Inputs!$B$26+F22*Inputs!$B$27)*(1+Inputs!$B$29)+A22*Inputs!$B$19*Inputs!$B$30</f>
        <v/>
      </c>
      <c r="H22" s="12">
        <f>C22*N(Inputs!$B$6)+B22*(N(Inputs!$B$7)+Inputs!$B$13*N(Inputs!$B$8))</f>
        <v/>
      </c>
      <c r="I22" s="12">
        <f>Inputs!$B$34+Inputs!$B$35</f>
        <v/>
      </c>
      <c r="J22" s="12">
        <f>G22+H22+I22</f>
        <v/>
      </c>
      <c r="K22" s="12">
        <f>IF(A22&gt;0,J22/A22,0)</f>
        <v/>
      </c>
      <c r="L22" s="12">
        <f>IF(A22*Inputs!$B$38&gt;0,J22/(A22*Inputs!$B$38),0)</f>
        <v/>
      </c>
    </row>
    <row r="23">
      <c r="A23" s="9" t="n">
        <v>200</v>
      </c>
      <c r="B23" s="20">
        <f>A23*Inputs!$B$12</f>
        <v/>
      </c>
      <c r="C23" s="20">
        <f>A23*Inputs!$B$11</f>
        <v/>
      </c>
      <c r="D23" s="20">
        <f>0+C23*Inputs!$B$20+B23*(Inputs!$B$21+Inputs!$B$13*Inputs!$B$22+Inputs!$B$23)</f>
        <v/>
      </c>
      <c r="E23" s="20">
        <f>MAX(0,D23-Inputs!$B$28)</f>
        <v/>
      </c>
      <c r="F23" s="20">
        <f>B23*Inputs!$B$14*Inputs!$B$15</f>
        <v/>
      </c>
      <c r="G23" s="12">
        <f>(E23*Inputs!$B$26+F23*Inputs!$B$27)*(1+Inputs!$B$29)+A23*Inputs!$B$19*Inputs!$B$30</f>
        <v/>
      </c>
      <c r="H23" s="12">
        <f>C23*N(Inputs!$B$6)+B23*(N(Inputs!$B$7)+Inputs!$B$13*N(Inputs!$B$8))</f>
        <v/>
      </c>
      <c r="I23" s="12">
        <f>Inputs!$B$34+Inputs!$B$35</f>
        <v/>
      </c>
      <c r="J23" s="12">
        <f>G23+H23+I23</f>
        <v/>
      </c>
      <c r="K23" s="12">
        <f>IF(A23&gt;0,J23/A23,0)</f>
        <v/>
      </c>
      <c r="L23" s="12">
        <f>IF(A23*Inputs!$B$38&gt;0,J23/(A23*Inputs!$B$38),0)</f>
        <v/>
      </c>
    </row>
    <row r="24">
      <c r="A24" s="9" t="n">
        <v>250</v>
      </c>
      <c r="B24" s="20">
        <f>A24*Inputs!$B$12</f>
        <v/>
      </c>
      <c r="C24" s="20">
        <f>A24*Inputs!$B$11</f>
        <v/>
      </c>
      <c r="D24" s="20">
        <f>0+C24*Inputs!$B$20+B24*(Inputs!$B$21+Inputs!$B$13*Inputs!$B$22+Inputs!$B$23)</f>
        <v/>
      </c>
      <c r="E24" s="20">
        <f>MAX(0,D24-Inputs!$B$28)</f>
        <v/>
      </c>
      <c r="F24" s="20">
        <f>B24*Inputs!$B$14*Inputs!$B$15</f>
        <v/>
      </c>
      <c r="G24" s="12">
        <f>(E24*Inputs!$B$26+F24*Inputs!$B$27)*(1+Inputs!$B$29)+A24*Inputs!$B$19*Inputs!$B$30</f>
        <v/>
      </c>
      <c r="H24" s="12">
        <f>C24*N(Inputs!$B$6)+B24*(N(Inputs!$B$7)+Inputs!$B$13*N(Inputs!$B$8))</f>
        <v/>
      </c>
      <c r="I24" s="12">
        <f>Inputs!$B$34+Inputs!$B$35</f>
        <v/>
      </c>
      <c r="J24" s="12">
        <f>G24+H24+I24</f>
        <v/>
      </c>
      <c r="K24" s="12">
        <f>IF(A24&gt;0,J24/A24,0)</f>
        <v/>
      </c>
      <c r="L24" s="12">
        <f>IF(A24*Inputs!$B$38&gt;0,J24/(A24*Inputs!$B$38),0)</f>
        <v/>
      </c>
    </row>
    <row r="25">
      <c r="A25" s="9" t="n">
        <v>300</v>
      </c>
      <c r="B25" s="20">
        <f>A25*Inputs!$B$12</f>
        <v/>
      </c>
      <c r="C25" s="20">
        <f>A25*Inputs!$B$11</f>
        <v/>
      </c>
      <c r="D25" s="20">
        <f>0+C25*Inputs!$B$20+B25*(Inputs!$B$21+Inputs!$B$13*Inputs!$B$22+Inputs!$B$23)</f>
        <v/>
      </c>
      <c r="E25" s="20">
        <f>MAX(0,D25-Inputs!$B$28)</f>
        <v/>
      </c>
      <c r="F25" s="20">
        <f>B25*Inputs!$B$14*Inputs!$B$15</f>
        <v/>
      </c>
      <c r="G25" s="12">
        <f>(E25*Inputs!$B$26+F25*Inputs!$B$27)*(1+Inputs!$B$29)+A25*Inputs!$B$19*Inputs!$B$30</f>
        <v/>
      </c>
      <c r="H25" s="12">
        <f>C25*N(Inputs!$B$6)+B25*(N(Inputs!$B$7)+Inputs!$B$13*N(Inputs!$B$8))</f>
        <v/>
      </c>
      <c r="I25" s="12">
        <f>Inputs!$B$34+Inputs!$B$35</f>
        <v/>
      </c>
      <c r="J25" s="12">
        <f>G25+H25+I25</f>
        <v/>
      </c>
      <c r="K25" s="12">
        <f>IF(A25&gt;0,J25/A25,0)</f>
        <v/>
      </c>
      <c r="L25" s="12">
        <f>IF(A25*Inputs!$B$38&gt;0,J25/(A25*Inputs!$B$38),0)</f>
        <v/>
      </c>
    </row>
    <row r="26">
      <c r="A26" s="9" t="n">
        <v>400</v>
      </c>
      <c r="B26" s="20">
        <f>A26*Inputs!$B$12</f>
        <v/>
      </c>
      <c r="C26" s="20">
        <f>A26*Inputs!$B$11</f>
        <v/>
      </c>
      <c r="D26" s="20">
        <f>0+C26*Inputs!$B$20+B26*(Inputs!$B$21+Inputs!$B$13*Inputs!$B$22+Inputs!$B$23)</f>
        <v/>
      </c>
      <c r="E26" s="20">
        <f>MAX(0,D26-Inputs!$B$28)</f>
        <v/>
      </c>
      <c r="F26" s="20">
        <f>B26*Inputs!$B$14*Inputs!$B$15</f>
        <v/>
      </c>
      <c r="G26" s="12">
        <f>(E26*Inputs!$B$26+F26*Inputs!$B$27)*(1+Inputs!$B$29)+A26*Inputs!$B$19*Inputs!$B$30</f>
        <v/>
      </c>
      <c r="H26" s="12">
        <f>C26*N(Inputs!$B$6)+B26*(N(Inputs!$B$7)+Inputs!$B$13*N(Inputs!$B$8))</f>
        <v/>
      </c>
      <c r="I26" s="12">
        <f>Inputs!$B$34+Inputs!$B$35</f>
        <v/>
      </c>
      <c r="J26" s="12">
        <f>G26+H26+I26</f>
        <v/>
      </c>
      <c r="K26" s="12">
        <f>IF(A26&gt;0,J26/A26,0)</f>
        <v/>
      </c>
      <c r="L26" s="12">
        <f>IF(A26*Inputs!$B$38&gt;0,J26/(A26*Inputs!$B$38),0)</f>
        <v/>
      </c>
    </row>
    <row r="27">
      <c r="A27" s="9" t="n">
        <v>500</v>
      </c>
      <c r="B27" s="20">
        <f>A27*Inputs!$B$12</f>
        <v/>
      </c>
      <c r="C27" s="20">
        <f>A27*Inputs!$B$11</f>
        <v/>
      </c>
      <c r="D27" s="20">
        <f>0+C27*Inputs!$B$20+B27*(Inputs!$B$21+Inputs!$B$13*Inputs!$B$22+Inputs!$B$23)</f>
        <v/>
      </c>
      <c r="E27" s="20">
        <f>MAX(0,D27-Inputs!$B$28)</f>
        <v/>
      </c>
      <c r="F27" s="20">
        <f>B27*Inputs!$B$14*Inputs!$B$15</f>
        <v/>
      </c>
      <c r="G27" s="12">
        <f>(E27*Inputs!$B$26+F27*Inputs!$B$27)*(1+Inputs!$B$29)+A27*Inputs!$B$19*Inputs!$B$30</f>
        <v/>
      </c>
      <c r="H27" s="12">
        <f>C27*N(Inputs!$B$6)+B27*(N(Inputs!$B$7)+Inputs!$B$13*N(Inputs!$B$8))</f>
        <v/>
      </c>
      <c r="I27" s="12">
        <f>Inputs!$B$34+Inputs!$B$35</f>
        <v/>
      </c>
      <c r="J27" s="12">
        <f>G27+H27+I27</f>
        <v/>
      </c>
      <c r="K27" s="12">
        <f>IF(A27&gt;0,J27/A27,0)</f>
        <v/>
      </c>
      <c r="L27" s="12">
        <f>IF(A27*Inputs!$B$38&gt;0,J27/(A27*Inputs!$B$38),0)</f>
        <v/>
      </c>
    </row>
    <row r="29">
      <c r="A29" s="21" t="inlineStr">
        <is>
          <t>WhatsApp service messages = welcome (WhatsApp only) + one founder note per client message + founder messages per draft and revision.</t>
        </is>
      </c>
    </row>
    <row r="30">
      <c r="A30" s="21" t="inlineStr">
        <is>
          <t>Only service messages above the free 1,000 per number per month are billed, so at today's volume Meta fees are close to $0.</t>
        </is>
      </c>
    </row>
    <row r="31">
      <c r="A31" s="21" t="inlineStr">
        <is>
          <t>Instagram: the agent's single client message is inside Instagram's 24h window, so the window rule doesn't limit it. Integrating Instagram needs Meta App Review (instagram_business_manage_messages); until then founders start Instagram cases with `new ...` on WhatsApp.</t>
        </is>
      </c>
    </row>
    <row r="32">
      <c r="A32" s="21" t="inlineStr">
        <is>
          <t>Volumes in column A are editable.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6" customWidth="1" min="9" max="9"/>
  </cols>
  <sheetData>
    <row r="1">
      <c r="A1" s="1" t="inlineStr">
        <is>
          <t>What the cost buys: time saved and commission at stake (WhatsApp table)</t>
        </is>
      </c>
    </row>
    <row r="2">
      <c r="A2" s="22" t="inlineStr">
        <is>
          <t>Commission uses the ASSUMED average annual fees on Inputs; replace it before quoting revenue.</t>
        </is>
      </c>
    </row>
    <row r="4" ht="32" customHeight="1">
      <c r="A4" s="19" t="inlineStr">
        <is>
          <t>Enquiries / month</t>
        </is>
      </c>
      <c r="B4" s="19" t="inlineStr">
        <is>
          <t>Enrolled students</t>
        </is>
      </c>
      <c r="C4" s="19" t="inlineStr">
        <is>
          <t>Commission / month (USD)</t>
        </is>
      </c>
      <c r="D4" s="19" t="inlineStr">
        <is>
          <t>Agent cost / month (USD)</t>
        </is>
      </c>
      <c r="E4" s="19" t="inlineStr">
        <is>
          <t>Agent cost as % of commission</t>
        </is>
      </c>
      <c r="F4" s="19" t="inlineStr">
        <is>
          <t>Founder hours on lists today</t>
        </is>
      </c>
      <c r="G4" s="19" t="inlineStr">
        <is>
          <t>Founder hours with agent</t>
        </is>
      </c>
      <c r="H4" s="19" t="inlineStr">
        <is>
          <t>Founder hours saved / month</t>
        </is>
      </c>
    </row>
    <row r="5">
      <c r="A5" s="23">
        <f>Inputs!$B$43</f>
        <v/>
      </c>
      <c r="B5" s="24">
        <f>A5*Inputs!$B$38</f>
        <v/>
      </c>
      <c r="C5" s="25">
        <f>B5*Inputs!$B$40*Inputs!$B$39</f>
        <v/>
      </c>
      <c r="D5" s="12">
        <f>N(Inputs!$B$16)*A5*Inputs!$B$12</f>
        <v/>
      </c>
      <c r="E5" s="26">
        <f>IF(C5&gt;0,D5/C5,0)</f>
        <v/>
      </c>
      <c r="F5" s="24">
        <f>A5*Inputs!$B$12*Inputs!$B$41</f>
        <v/>
      </c>
      <c r="G5" s="24">
        <f>A5*Inputs!$B$12*Inputs!$B$42</f>
        <v/>
      </c>
      <c r="H5" s="24">
        <f>F5-G5</f>
        <v/>
      </c>
      <c r="I5" s="18" t="inlineStr">
        <is>
          <t>← EduNXT today</t>
        </is>
      </c>
    </row>
    <row r="6">
      <c r="A6" s="23">
        <f>'Monthly cost'!A6</f>
        <v/>
      </c>
      <c r="B6" s="24">
        <f>A6*Inputs!$B$38</f>
        <v/>
      </c>
      <c r="C6" s="25">
        <f>B6*Inputs!$B$40*Inputs!$B$39</f>
        <v/>
      </c>
      <c r="D6" s="27">
        <f>'Monthly cost'!J6</f>
        <v/>
      </c>
      <c r="E6" s="26">
        <f>IF(C6&gt;0,D6/C6,0)</f>
        <v/>
      </c>
      <c r="F6" s="24">
        <f>A6*Inputs!$B$12*Inputs!$B$41</f>
        <v/>
      </c>
      <c r="G6" s="24">
        <f>A6*Inputs!$B$12*Inputs!$B$42</f>
        <v/>
      </c>
      <c r="H6" s="24">
        <f>F6-G6</f>
        <v/>
      </c>
    </row>
    <row r="7">
      <c r="A7" s="23">
        <f>'Monthly cost'!A7</f>
        <v/>
      </c>
      <c r="B7" s="24">
        <f>A7*Inputs!$B$38</f>
        <v/>
      </c>
      <c r="C7" s="25">
        <f>B7*Inputs!$B$40*Inputs!$B$39</f>
        <v/>
      </c>
      <c r="D7" s="27">
        <f>'Monthly cost'!J7</f>
        <v/>
      </c>
      <c r="E7" s="26">
        <f>IF(C7&gt;0,D7/C7,0)</f>
        <v/>
      </c>
      <c r="F7" s="24">
        <f>A7*Inputs!$B$12*Inputs!$B$41</f>
        <v/>
      </c>
      <c r="G7" s="24">
        <f>A7*Inputs!$B$12*Inputs!$B$42</f>
        <v/>
      </c>
      <c r="H7" s="24">
        <f>F7-G7</f>
        <v/>
      </c>
    </row>
    <row r="8">
      <c r="A8" s="23">
        <f>'Monthly cost'!A8</f>
        <v/>
      </c>
      <c r="B8" s="24">
        <f>A8*Inputs!$B$38</f>
        <v/>
      </c>
      <c r="C8" s="25">
        <f>B8*Inputs!$B$40*Inputs!$B$39</f>
        <v/>
      </c>
      <c r="D8" s="27">
        <f>'Monthly cost'!J8</f>
        <v/>
      </c>
      <c r="E8" s="26">
        <f>IF(C8&gt;0,D8/C8,0)</f>
        <v/>
      </c>
      <c r="F8" s="24">
        <f>A8*Inputs!$B$12*Inputs!$B$41</f>
        <v/>
      </c>
      <c r="G8" s="24">
        <f>A8*Inputs!$B$12*Inputs!$B$42</f>
        <v/>
      </c>
      <c r="H8" s="24">
        <f>F8-G8</f>
        <v/>
      </c>
    </row>
    <row r="9">
      <c r="A9" s="23">
        <f>'Monthly cost'!A9</f>
        <v/>
      </c>
      <c r="B9" s="24">
        <f>A9*Inputs!$B$38</f>
        <v/>
      </c>
      <c r="C9" s="25">
        <f>B9*Inputs!$B$40*Inputs!$B$39</f>
        <v/>
      </c>
      <c r="D9" s="27">
        <f>'Monthly cost'!J9</f>
        <v/>
      </c>
      <c r="E9" s="26">
        <f>IF(C9&gt;0,D9/C9,0)</f>
        <v/>
      </c>
      <c r="F9" s="24">
        <f>A9*Inputs!$B$12*Inputs!$B$41</f>
        <v/>
      </c>
      <c r="G9" s="24">
        <f>A9*Inputs!$B$12*Inputs!$B$42</f>
        <v/>
      </c>
      <c r="H9" s="24">
        <f>F9-G9</f>
        <v/>
      </c>
    </row>
    <row r="10">
      <c r="A10" s="23">
        <f>'Monthly cost'!A10</f>
        <v/>
      </c>
      <c r="B10" s="24">
        <f>A10*Inputs!$B$38</f>
        <v/>
      </c>
      <c r="C10" s="25">
        <f>B10*Inputs!$B$40*Inputs!$B$39</f>
        <v/>
      </c>
      <c r="D10" s="27">
        <f>'Monthly cost'!J10</f>
        <v/>
      </c>
      <c r="E10" s="26">
        <f>IF(C10&gt;0,D10/C10,0)</f>
        <v/>
      </c>
      <c r="F10" s="24">
        <f>A10*Inputs!$B$12*Inputs!$B$41</f>
        <v/>
      </c>
      <c r="G10" s="24">
        <f>A10*Inputs!$B$12*Inputs!$B$42</f>
        <v/>
      </c>
      <c r="H10" s="24">
        <f>F10-G10</f>
        <v/>
      </c>
    </row>
    <row r="11">
      <c r="A11" s="23">
        <f>'Monthly cost'!A11</f>
        <v/>
      </c>
      <c r="B11" s="24">
        <f>A11*Inputs!$B$38</f>
        <v/>
      </c>
      <c r="C11" s="25">
        <f>B11*Inputs!$B$40*Inputs!$B$39</f>
        <v/>
      </c>
      <c r="D11" s="27">
        <f>'Monthly cost'!J11</f>
        <v/>
      </c>
      <c r="E11" s="26">
        <f>IF(C11&gt;0,D11/C11,0)</f>
        <v/>
      </c>
      <c r="F11" s="24">
        <f>A11*Inputs!$B$12*Inputs!$B$41</f>
        <v/>
      </c>
      <c r="G11" s="24">
        <f>A11*Inputs!$B$12*Inputs!$B$42</f>
        <v/>
      </c>
      <c r="H11" s="24">
        <f>F11-G11</f>
        <v/>
      </c>
    </row>
    <row r="12">
      <c r="A12" s="23">
        <f>'Monthly cost'!A12</f>
        <v/>
      </c>
      <c r="B12" s="24">
        <f>A12*Inputs!$B$38</f>
        <v/>
      </c>
      <c r="C12" s="25">
        <f>B12*Inputs!$B$40*Inputs!$B$39</f>
        <v/>
      </c>
      <c r="D12" s="27">
        <f>'Monthly cost'!J12</f>
        <v/>
      </c>
      <c r="E12" s="26">
        <f>IF(C12&gt;0,D12/C12,0)</f>
        <v/>
      </c>
      <c r="F12" s="24">
        <f>A12*Inputs!$B$12*Inputs!$B$41</f>
        <v/>
      </c>
      <c r="G12" s="24">
        <f>A12*Inputs!$B$12*Inputs!$B$42</f>
        <v/>
      </c>
      <c r="H12" s="24">
        <f>F12-G12</f>
        <v/>
      </c>
    </row>
    <row r="13">
      <c r="A13" s="23">
        <f>'Monthly cost'!A13</f>
        <v/>
      </c>
      <c r="B13" s="24">
        <f>A13*Inputs!$B$38</f>
        <v/>
      </c>
      <c r="C13" s="25">
        <f>B13*Inputs!$B$40*Inputs!$B$39</f>
        <v/>
      </c>
      <c r="D13" s="27">
        <f>'Monthly cost'!J13</f>
        <v/>
      </c>
      <c r="E13" s="26">
        <f>IF(C13&gt;0,D13/C13,0)</f>
        <v/>
      </c>
      <c r="F13" s="24">
        <f>A13*Inputs!$B$12*Inputs!$B$41</f>
        <v/>
      </c>
      <c r="G13" s="24">
        <f>A13*Inputs!$B$12*Inputs!$B$42</f>
        <v/>
      </c>
      <c r="H13" s="24">
        <f>F13-G13</f>
        <v/>
      </c>
    </row>
    <row r="14">
      <c r="A14" s="23">
        <f>'Monthly cost'!A14</f>
        <v/>
      </c>
      <c r="B14" s="24">
        <f>A14*Inputs!$B$38</f>
        <v/>
      </c>
      <c r="C14" s="25">
        <f>B14*Inputs!$B$40*Inputs!$B$39</f>
        <v/>
      </c>
      <c r="D14" s="27">
        <f>'Monthly cost'!J14</f>
        <v/>
      </c>
      <c r="E14" s="26">
        <f>IF(C14&gt;0,D14/C14,0)</f>
        <v/>
      </c>
      <c r="F14" s="24">
        <f>A14*Inputs!$B$12*Inputs!$B$41</f>
        <v/>
      </c>
      <c r="G14" s="24">
        <f>A14*Inputs!$B$12*Inputs!$B$42</f>
        <v/>
      </c>
      <c r="H14" s="24">
        <f>F14-G14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Total monthly cost (WhatsApp) if the AI cost per client were...</t>
        </is>
      </c>
    </row>
    <row r="2">
      <c r="A2" s="2" t="inlineStr">
        <is>
          <t>Use this before the benchmark has run, or to see how much the AI cost matters. Meta fees and fixed costs come from 'Monthly cost'.</t>
        </is>
      </c>
    </row>
    <row r="4">
      <c r="A4" s="28" t="inlineStr">
        <is>
          <t>Enquiries / month</t>
        </is>
      </c>
      <c r="B4" s="29" t="n">
        <v>0.5</v>
      </c>
      <c r="C4" s="29" t="n">
        <v>1</v>
      </c>
      <c r="D4" s="29" t="n">
        <v>2</v>
      </c>
      <c r="E4" s="29" t="n">
        <v>3</v>
      </c>
      <c r="F4" s="29" t="n">
        <v>5</v>
      </c>
    </row>
    <row r="5">
      <c r="A5" s="30">
        <f>'Monthly cost'!A6</f>
        <v/>
      </c>
      <c r="B5" s="31">
        <f>'Monthly cost'!G6+'Monthly cost'!I6+A5*Inputs!$B$12*B$4</f>
        <v/>
      </c>
      <c r="C5" s="31">
        <f>'Monthly cost'!G6+'Monthly cost'!I6+A5*Inputs!$B$12*C$4</f>
        <v/>
      </c>
      <c r="D5" s="31">
        <f>'Monthly cost'!G6+'Monthly cost'!I6+A5*Inputs!$B$12*D$4</f>
        <v/>
      </c>
      <c r="E5" s="31">
        <f>'Monthly cost'!G6+'Monthly cost'!I6+A5*Inputs!$B$12*E$4</f>
        <v/>
      </c>
      <c r="F5" s="31">
        <f>'Monthly cost'!G6+'Monthly cost'!I6+A5*Inputs!$B$12*F$4</f>
        <v/>
      </c>
    </row>
    <row r="6">
      <c r="A6" s="30">
        <f>'Monthly cost'!A7</f>
        <v/>
      </c>
      <c r="B6" s="31">
        <f>'Monthly cost'!G7+'Monthly cost'!I7+A6*Inputs!$B$12*B$4</f>
        <v/>
      </c>
      <c r="C6" s="31">
        <f>'Monthly cost'!G7+'Monthly cost'!I7+A6*Inputs!$B$12*C$4</f>
        <v/>
      </c>
      <c r="D6" s="31">
        <f>'Monthly cost'!G7+'Monthly cost'!I7+A6*Inputs!$B$12*D$4</f>
        <v/>
      </c>
      <c r="E6" s="31">
        <f>'Monthly cost'!G7+'Monthly cost'!I7+A6*Inputs!$B$12*E$4</f>
        <v/>
      </c>
      <c r="F6" s="31">
        <f>'Monthly cost'!G7+'Monthly cost'!I7+A6*Inputs!$B$12*F$4</f>
        <v/>
      </c>
    </row>
    <row r="7">
      <c r="A7" s="30">
        <f>'Monthly cost'!A8</f>
        <v/>
      </c>
      <c r="B7" s="31">
        <f>'Monthly cost'!G8+'Monthly cost'!I8+A7*Inputs!$B$12*B$4</f>
        <v/>
      </c>
      <c r="C7" s="31">
        <f>'Monthly cost'!G8+'Monthly cost'!I8+A7*Inputs!$B$12*C$4</f>
        <v/>
      </c>
      <c r="D7" s="31">
        <f>'Monthly cost'!G8+'Monthly cost'!I8+A7*Inputs!$B$12*D$4</f>
        <v/>
      </c>
      <c r="E7" s="31">
        <f>'Monthly cost'!G8+'Monthly cost'!I8+A7*Inputs!$B$12*E$4</f>
        <v/>
      </c>
      <c r="F7" s="31">
        <f>'Monthly cost'!G8+'Monthly cost'!I8+A7*Inputs!$B$12*F$4</f>
        <v/>
      </c>
    </row>
    <row r="8">
      <c r="A8" s="30">
        <f>'Monthly cost'!A9</f>
        <v/>
      </c>
      <c r="B8" s="31">
        <f>'Monthly cost'!G9+'Monthly cost'!I9+A8*Inputs!$B$12*B$4</f>
        <v/>
      </c>
      <c r="C8" s="31">
        <f>'Monthly cost'!G9+'Monthly cost'!I9+A8*Inputs!$B$12*C$4</f>
        <v/>
      </c>
      <c r="D8" s="31">
        <f>'Monthly cost'!G9+'Monthly cost'!I9+A8*Inputs!$B$12*D$4</f>
        <v/>
      </c>
      <c r="E8" s="31">
        <f>'Monthly cost'!G9+'Monthly cost'!I9+A8*Inputs!$B$12*E$4</f>
        <v/>
      </c>
      <c r="F8" s="31">
        <f>'Monthly cost'!G9+'Monthly cost'!I9+A8*Inputs!$B$12*F$4</f>
        <v/>
      </c>
    </row>
    <row r="9">
      <c r="A9" s="30">
        <f>'Monthly cost'!A10</f>
        <v/>
      </c>
      <c r="B9" s="31">
        <f>'Monthly cost'!G10+'Monthly cost'!I10+A9*Inputs!$B$12*B$4</f>
        <v/>
      </c>
      <c r="C9" s="31">
        <f>'Monthly cost'!G10+'Monthly cost'!I10+A9*Inputs!$B$12*C$4</f>
        <v/>
      </c>
      <c r="D9" s="31">
        <f>'Monthly cost'!G10+'Monthly cost'!I10+A9*Inputs!$B$12*D$4</f>
        <v/>
      </c>
      <c r="E9" s="31">
        <f>'Monthly cost'!G10+'Monthly cost'!I10+A9*Inputs!$B$12*E$4</f>
        <v/>
      </c>
      <c r="F9" s="31">
        <f>'Monthly cost'!G10+'Monthly cost'!I10+A9*Inputs!$B$12*F$4</f>
        <v/>
      </c>
    </row>
    <row r="10">
      <c r="A10" s="30">
        <f>'Monthly cost'!A11</f>
        <v/>
      </c>
      <c r="B10" s="31">
        <f>'Monthly cost'!G11+'Monthly cost'!I11+A10*Inputs!$B$12*B$4</f>
        <v/>
      </c>
      <c r="C10" s="31">
        <f>'Monthly cost'!G11+'Monthly cost'!I11+A10*Inputs!$B$12*C$4</f>
        <v/>
      </c>
      <c r="D10" s="31">
        <f>'Monthly cost'!G11+'Monthly cost'!I11+A10*Inputs!$B$12*D$4</f>
        <v/>
      </c>
      <c r="E10" s="31">
        <f>'Monthly cost'!G11+'Monthly cost'!I11+A10*Inputs!$B$12*E$4</f>
        <v/>
      </c>
      <c r="F10" s="31">
        <f>'Monthly cost'!G11+'Monthly cost'!I11+A10*Inputs!$B$12*F$4</f>
        <v/>
      </c>
    </row>
    <row r="11">
      <c r="A11" s="30">
        <f>'Monthly cost'!A12</f>
        <v/>
      </c>
      <c r="B11" s="31">
        <f>'Monthly cost'!G12+'Monthly cost'!I12+A11*Inputs!$B$12*B$4</f>
        <v/>
      </c>
      <c r="C11" s="31">
        <f>'Monthly cost'!G12+'Monthly cost'!I12+A11*Inputs!$B$12*C$4</f>
        <v/>
      </c>
      <c r="D11" s="31">
        <f>'Monthly cost'!G12+'Monthly cost'!I12+A11*Inputs!$B$12*D$4</f>
        <v/>
      </c>
      <c r="E11" s="31">
        <f>'Monthly cost'!G12+'Monthly cost'!I12+A11*Inputs!$B$12*E$4</f>
        <v/>
      </c>
      <c r="F11" s="31">
        <f>'Monthly cost'!G12+'Monthly cost'!I12+A11*Inputs!$B$12*F$4</f>
        <v/>
      </c>
    </row>
    <row r="12">
      <c r="A12" s="30">
        <f>'Monthly cost'!A13</f>
        <v/>
      </c>
      <c r="B12" s="31">
        <f>'Monthly cost'!G13+'Monthly cost'!I13+A12*Inputs!$B$12*B$4</f>
        <v/>
      </c>
      <c r="C12" s="31">
        <f>'Monthly cost'!G13+'Monthly cost'!I13+A12*Inputs!$B$12*C$4</f>
        <v/>
      </c>
      <c r="D12" s="31">
        <f>'Monthly cost'!G13+'Monthly cost'!I13+A12*Inputs!$B$12*D$4</f>
        <v/>
      </c>
      <c r="E12" s="31">
        <f>'Monthly cost'!G13+'Monthly cost'!I13+A12*Inputs!$B$12*E$4</f>
        <v/>
      </c>
      <c r="F12" s="31">
        <f>'Monthly cost'!G13+'Monthly cost'!I13+A12*Inputs!$B$12*F$4</f>
        <v/>
      </c>
    </row>
    <row r="13">
      <c r="A13" s="30">
        <f>'Monthly cost'!A14</f>
        <v/>
      </c>
      <c r="B13" s="31">
        <f>'Monthly cost'!G14+'Monthly cost'!I14+A13*Inputs!$B$12*B$4</f>
        <v/>
      </c>
      <c r="C13" s="31">
        <f>'Monthly cost'!G14+'Monthly cost'!I14+A13*Inputs!$B$12*C$4</f>
        <v/>
      </c>
      <c r="D13" s="31">
        <f>'Monthly cost'!G14+'Monthly cost'!I14+A13*Inputs!$B$12*D$4</f>
        <v/>
      </c>
      <c r="E13" s="31">
        <f>'Monthly cost'!G14+'Monthly cost'!I14+A13*Inputs!$B$12*E$4</f>
        <v/>
      </c>
      <c r="F13" s="31">
        <f>'Monthly cost'!G14+'Monthly cost'!I14+A13*Inputs!$B$12*F$4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32" t="inlineStr">
        <is>
          <t>Sources and notes</t>
        </is>
      </c>
    </row>
    <row r="2">
      <c r="A2" s="33" t="inlineStr">
        <is>
          <t>WhatsApp pricing (Egypt): Meta WhatsApp Business Platform rate card, Egypt, USD, per delivered message (marketing $0.0644 from 1 Jan 2026; utility/authentication $0.0036, July 2026 card). From 1 Oct 2026 service messages are billed at the utility rate after 1,000 free per business phone number per month, and utility templates inside the 24h window are billable. developers.facebook.com/docs/whatsapp/pricing. Checked 3 Oct 2026 via secondary sources; confirm in WhatsApp Manager.</t>
        </is>
      </c>
    </row>
    <row r="3">
      <c r="A3" s="33" t="inlineStr">
        <is>
          <t>Instagram Messaging API: Instagram Messaging API (Graph API): no per-message fee. Replies only within 24h of the user's last message; the HUMAN_AGENT tag (7 days) needs its own App Review and may not be used for automated messages.</t>
        </is>
      </c>
    </row>
    <row r="4">
      <c r="A4" s="33" t="inlineStr">
        <is>
          <t>Claude API prices used by the cost meter (edunxt/agents/llm.py): Opus 5.5 $4 / $20 per million input / output tokens; Haiku 4.5 $1 / $5; web search $10 per 1,000.</t>
        </is>
      </c>
    </row>
    <row r="5">
      <c r="A5" s="33" t="inlineStr">
        <is>
          <t>Message counts per case: edunxt/workflow.py (_handle_client, _deliver, _hold).</t>
        </is>
      </c>
    </row>
    <row r="6">
      <c r="A6" s="33" t="inlineStr">
        <is>
          <t>Business figures (15 enquiries/month, 30% enrolment, 10% commission, 1-2 h per list, 12-24 h reply time): EduNXT founders.</t>
        </is>
      </c>
    </row>
    <row r="7">
      <c r="A7" s="33" t="inlineStr">
        <is>
          <t>Generated by scripts/build_cost_model.py. Re-run it after a benchmark to refresh the AI-cost inputs.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2026-10-10T15:32:27Z</dcterms:created>
  <dcterms:modified xsi:type="dcterms:W3CDTF">2026-10-10T15:32:27Z</dcterms:modified>
</cp:coreProperties>
</file>